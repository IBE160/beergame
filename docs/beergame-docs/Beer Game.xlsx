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BE160\student-groups\beergame\docs\references\"/>
    </mc:Choice>
  </mc:AlternateContent>
  <xr:revisionPtr revIDLastSave="0" documentId="13_ncr:1_{C5C00FA0-AFAB-4551-BE02-8D80133E86C3}" xr6:coauthVersionLast="47" xr6:coauthVersionMax="47" xr10:uidLastSave="{00000000-0000-0000-0000-000000000000}"/>
  <bookViews>
    <workbookView xWindow="28702" yWindow="-113" windowWidth="16396" windowHeight="28396" activeTab="4" xr2:uid="{00000000-000D-0000-FFFF-FFFF00000000}"/>
  </bookViews>
  <sheets>
    <sheet name="README" sheetId="1" r:id="rId1"/>
    <sheet name="Supply Side" sheetId="2" state="hidden" r:id="rId2"/>
    <sheet name="Order Side" sheetId="3" state="hidden" r:id="rId3"/>
    <sheet name="Summary" sheetId="4" r:id="rId4"/>
    <sheet name="Factory" sheetId="5" r:id="rId5"/>
    <sheet name="Supplier" sheetId="6" r:id="rId6"/>
    <sheet name="Wholesaler" sheetId="7" r:id="rId7"/>
    <sheet name="Retailer"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8" l="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F3" i="8"/>
  <c r="E3" i="8"/>
  <c r="C3" i="8"/>
  <c r="H1" i="8"/>
  <c r="A4" i="7"/>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F3" i="7"/>
  <c r="E3" i="7"/>
  <c r="C3" i="7"/>
  <c r="H1" i="7"/>
  <c r="A8" i="6"/>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4" i="6"/>
  <c r="A5" i="6" s="1"/>
  <c r="A6" i="6" s="1"/>
  <c r="A7" i="6" s="1"/>
  <c r="F3" i="6"/>
  <c r="E3" i="6"/>
  <c r="C3" i="6"/>
  <c r="H1" i="6"/>
  <c r="A8" i="5"/>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4" i="5"/>
  <c r="A5" i="5" s="1"/>
  <c r="A6" i="5" s="1"/>
  <c r="A7" i="5" s="1"/>
  <c r="F3" i="5"/>
  <c r="E3" i="5"/>
  <c r="C3" i="5"/>
  <c r="H1" i="5"/>
  <c r="A6" i="4"/>
  <c r="A7" i="4" s="1"/>
  <c r="S5" i="4"/>
  <c r="A5" i="4"/>
  <c r="S4" i="4"/>
  <c r="W3" i="4"/>
  <c r="V3" i="4"/>
  <c r="U3" i="4"/>
  <c r="T3" i="4"/>
  <c r="S3" i="4"/>
  <c r="A1" i="4"/>
  <c r="G52" i="3" a="1"/>
  <c r="G52" i="3" s="1"/>
  <c r="F52" i="3"/>
  <c r="E52" i="3"/>
  <c r="D52" i="3"/>
  <c r="C52" i="3"/>
  <c r="B52" i="3"/>
  <c r="F51" i="3"/>
  <c r="E51" i="3"/>
  <c r="D51" i="3"/>
  <c r="C51" i="3"/>
  <c r="G51" i="3" s="1" a="1"/>
  <c r="G51" i="3" s="1"/>
  <c r="B51" i="3"/>
  <c r="F50" i="3"/>
  <c r="E50" i="3"/>
  <c r="D50" i="3"/>
  <c r="C50" i="3"/>
  <c r="G50" i="3" s="1" a="1"/>
  <c r="G50" i="3" s="1"/>
  <c r="B50" i="3"/>
  <c r="F49" i="3"/>
  <c r="E49" i="3"/>
  <c r="D49" i="3"/>
  <c r="C49" i="3"/>
  <c r="B49" i="3"/>
  <c r="F48" i="3"/>
  <c r="N48" i="2" s="1"/>
  <c r="E48" i="3"/>
  <c r="D48" i="3"/>
  <c r="C48" i="3"/>
  <c r="B48" i="3"/>
  <c r="F47" i="3"/>
  <c r="E47" i="3"/>
  <c r="D47" i="3"/>
  <c r="C47" i="3"/>
  <c r="G47" i="3" s="1" a="1"/>
  <c r="G47" i="3" s="1"/>
  <c r="B47" i="3"/>
  <c r="F46" i="3"/>
  <c r="E46" i="3"/>
  <c r="D46" i="3"/>
  <c r="G46" i="3" s="1" a="1"/>
  <c r="G46" i="3" s="1"/>
  <c r="C46" i="3"/>
  <c r="B46" i="3"/>
  <c r="F45" i="3"/>
  <c r="N45" i="2" s="1"/>
  <c r="E45" i="3"/>
  <c r="D45" i="3"/>
  <c r="C45" i="3"/>
  <c r="B45" i="3"/>
  <c r="F44" i="3"/>
  <c r="N44" i="2" s="1"/>
  <c r="E44" i="3"/>
  <c r="D44" i="3"/>
  <c r="G44" i="3" s="1" a="1"/>
  <c r="G44" i="3" s="1"/>
  <c r="C44" i="3"/>
  <c r="B44" i="3"/>
  <c r="F43" i="3"/>
  <c r="E43" i="3"/>
  <c r="D43" i="3"/>
  <c r="C43" i="3"/>
  <c r="G43" i="3" s="1" a="1"/>
  <c r="G43" i="3" s="1"/>
  <c r="B43" i="3"/>
  <c r="F42" i="3"/>
  <c r="G42" i="3" s="1" a="1"/>
  <c r="G42" i="3" s="1"/>
  <c r="E42" i="3"/>
  <c r="D42" i="3"/>
  <c r="C42" i="3"/>
  <c r="B42" i="3"/>
  <c r="F41" i="3"/>
  <c r="N41" i="2" s="1"/>
  <c r="E41" i="3"/>
  <c r="D41" i="3"/>
  <c r="C41" i="3"/>
  <c r="B41" i="3"/>
  <c r="F40" i="3"/>
  <c r="E40" i="3"/>
  <c r="D40" i="3"/>
  <c r="C40" i="3"/>
  <c r="G40" i="3" s="1" a="1"/>
  <c r="G40" i="3" s="1"/>
  <c r="B40" i="3"/>
  <c r="F39" i="3"/>
  <c r="E39" i="3"/>
  <c r="D39" i="3"/>
  <c r="C39" i="3"/>
  <c r="G39" i="3" s="1" a="1"/>
  <c r="G39" i="3" s="1"/>
  <c r="B39" i="3"/>
  <c r="G38" i="3" a="1"/>
  <c r="G38" i="3" s="1"/>
  <c r="F38" i="3"/>
  <c r="N38" i="2" s="1"/>
  <c r="E38" i="3"/>
  <c r="D38" i="3"/>
  <c r="C38" i="3"/>
  <c r="B38" i="3"/>
  <c r="F37" i="3"/>
  <c r="E37" i="3"/>
  <c r="D37" i="3"/>
  <c r="C37" i="3"/>
  <c r="B37" i="3"/>
  <c r="F36" i="3"/>
  <c r="E36" i="3"/>
  <c r="D36" i="3"/>
  <c r="C36" i="3"/>
  <c r="G36" i="3" s="1" a="1"/>
  <c r="G36" i="3" s="1"/>
  <c r="B36" i="3"/>
  <c r="G35" i="3" a="1"/>
  <c r="G35" i="3" s="1"/>
  <c r="F35" i="3"/>
  <c r="E35" i="3"/>
  <c r="D35" i="3"/>
  <c r="C35" i="3"/>
  <c r="B35" i="3"/>
  <c r="F34" i="3"/>
  <c r="N34" i="2" s="1"/>
  <c r="E34" i="3"/>
  <c r="D34" i="3"/>
  <c r="G34" i="3" s="1" a="1"/>
  <c r="G34" i="3" s="1"/>
  <c r="C34" i="3"/>
  <c r="B34" i="3"/>
  <c r="F33" i="3"/>
  <c r="E33" i="3"/>
  <c r="D33" i="3"/>
  <c r="C33" i="3"/>
  <c r="B33" i="3"/>
  <c r="G32" i="3" a="1"/>
  <c r="G32" i="3" s="1"/>
  <c r="F32" i="3"/>
  <c r="E32" i="3"/>
  <c r="D32" i="3"/>
  <c r="C32" i="3"/>
  <c r="B32" i="3"/>
  <c r="F31" i="3"/>
  <c r="N31" i="2" s="1"/>
  <c r="E31" i="3"/>
  <c r="G31" i="3" s="1" a="1"/>
  <c r="G31" i="3" s="1"/>
  <c r="D31" i="3"/>
  <c r="C31" i="3"/>
  <c r="B31" i="3"/>
  <c r="F30" i="3"/>
  <c r="E30" i="3"/>
  <c r="D30" i="3"/>
  <c r="C30" i="3"/>
  <c r="G30" i="3" s="1" a="1"/>
  <c r="G30" i="3" s="1"/>
  <c r="B30" i="3"/>
  <c r="F29" i="3"/>
  <c r="E29" i="3"/>
  <c r="D29" i="3"/>
  <c r="C29" i="3"/>
  <c r="G29" i="3" s="1" a="1"/>
  <c r="G29" i="3" s="1"/>
  <c r="B29" i="3"/>
  <c r="F28" i="3"/>
  <c r="N28" i="2" s="1"/>
  <c r="E28" i="3"/>
  <c r="D28" i="3"/>
  <c r="C28" i="3"/>
  <c r="G28" i="3" s="1" a="1"/>
  <c r="G28" i="3" s="1"/>
  <c r="B28" i="3"/>
  <c r="F27" i="3"/>
  <c r="E27" i="3"/>
  <c r="D27" i="3"/>
  <c r="C27" i="3"/>
  <c r="G27" i="3" s="1" a="1"/>
  <c r="G27" i="3" s="1"/>
  <c r="B27" i="3"/>
  <c r="F26" i="3"/>
  <c r="E26" i="3"/>
  <c r="D26" i="3"/>
  <c r="C26" i="3"/>
  <c r="G26" i="3" s="1" a="1"/>
  <c r="G26" i="3" s="1"/>
  <c r="B26" i="3"/>
  <c r="F25" i="3"/>
  <c r="E25" i="3"/>
  <c r="D25" i="3"/>
  <c r="C25" i="3"/>
  <c r="B25" i="3"/>
  <c r="F24" i="3"/>
  <c r="N24" i="2" s="1"/>
  <c r="E24" i="3"/>
  <c r="D24" i="3"/>
  <c r="G24" i="3" s="1" a="1"/>
  <c r="G24" i="3" s="1"/>
  <c r="C24" i="3"/>
  <c r="B24" i="3"/>
  <c r="F23" i="3"/>
  <c r="E23" i="3"/>
  <c r="D23" i="3"/>
  <c r="C23" i="3"/>
  <c r="G23" i="3" s="1" a="1"/>
  <c r="G23" i="3" s="1"/>
  <c r="B23" i="3"/>
  <c r="F22" i="3"/>
  <c r="E22" i="3"/>
  <c r="D22" i="3"/>
  <c r="C22" i="3"/>
  <c r="G22" i="3" s="1" a="1"/>
  <c r="G22" i="3" s="1"/>
  <c r="B22" i="3"/>
  <c r="F21" i="3"/>
  <c r="E21" i="3"/>
  <c r="D21" i="3"/>
  <c r="C21" i="3"/>
  <c r="B21" i="3"/>
  <c r="F20" i="3"/>
  <c r="E20" i="3"/>
  <c r="D20" i="3"/>
  <c r="C20" i="3"/>
  <c r="G20" i="3" s="1" a="1"/>
  <c r="G20" i="3" s="1"/>
  <c r="B20" i="3"/>
  <c r="F19" i="3"/>
  <c r="N19" i="2" s="1"/>
  <c r="E19" i="3"/>
  <c r="D19" i="3"/>
  <c r="C19" i="3"/>
  <c r="G19" i="3" s="1" a="1"/>
  <c r="G19" i="3" s="1"/>
  <c r="B19" i="3"/>
  <c r="G18" i="3" a="1"/>
  <c r="G18" i="3"/>
  <c r="F18" i="3"/>
  <c r="E18" i="3"/>
  <c r="D18" i="3"/>
  <c r="C18" i="3"/>
  <c r="B18" i="3"/>
  <c r="F17" i="3"/>
  <c r="E17" i="3"/>
  <c r="D17" i="3"/>
  <c r="C17" i="3"/>
  <c r="B17" i="3"/>
  <c r="F16" i="3"/>
  <c r="E16" i="3"/>
  <c r="D16" i="3"/>
  <c r="C16" i="3"/>
  <c r="G16" i="3" s="1" a="1"/>
  <c r="G16" i="3" s="1"/>
  <c r="B16" i="3"/>
  <c r="G15" i="3" a="1"/>
  <c r="G15" i="3" s="1"/>
  <c r="G16" i="7" s="1"/>
  <c r="F15" i="3"/>
  <c r="E15" i="3"/>
  <c r="D15" i="3"/>
  <c r="C15" i="3"/>
  <c r="B15" i="3"/>
  <c r="F14" i="3"/>
  <c r="N14" i="2" s="1"/>
  <c r="E14" i="3"/>
  <c r="G14" i="3" s="1" a="1"/>
  <c r="G14" i="3" s="1"/>
  <c r="D14" i="3"/>
  <c r="C14" i="3"/>
  <c r="B14" i="3"/>
  <c r="F13" i="3"/>
  <c r="E13" i="3"/>
  <c r="D13" i="3"/>
  <c r="C13" i="3"/>
  <c r="G13" i="3" s="1" a="1"/>
  <c r="G13" i="3" s="1"/>
  <c r="F12" i="3"/>
  <c r="E12" i="3"/>
  <c r="D12" i="3"/>
  <c r="C12" i="3"/>
  <c r="G12" i="3" s="1" a="1"/>
  <c r="G12" i="3" s="1"/>
  <c r="F11" i="3"/>
  <c r="E11" i="3"/>
  <c r="G11" i="3" s="1" a="1"/>
  <c r="G11" i="3" s="1"/>
  <c r="D11" i="3"/>
  <c r="C11" i="3"/>
  <c r="F10" i="3"/>
  <c r="E10" i="3"/>
  <c r="D10" i="3"/>
  <c r="C10" i="3"/>
  <c r="G10" i="3" s="1" a="1"/>
  <c r="G10" i="3" s="1"/>
  <c r="F9" i="3"/>
  <c r="E9" i="3"/>
  <c r="D9" i="3"/>
  <c r="C9" i="3"/>
  <c r="G9" i="3" s="1" a="1"/>
  <c r="G9" i="3" s="1"/>
  <c r="F8" i="3"/>
  <c r="N8" i="2" s="1"/>
  <c r="E8" i="3"/>
  <c r="D8" i="3"/>
  <c r="C8" i="3"/>
  <c r="G8" i="3" s="1" a="1"/>
  <c r="G8" i="3" s="1"/>
  <c r="F7" i="3"/>
  <c r="E7" i="3"/>
  <c r="D7" i="3"/>
  <c r="G7" i="3" s="1" a="1"/>
  <c r="G7" i="3" s="1"/>
  <c r="C7" i="3"/>
  <c r="G6" i="3" a="1"/>
  <c r="G6" i="3" s="1"/>
  <c r="F6" i="3"/>
  <c r="E6" i="3"/>
  <c r="D6" i="3"/>
  <c r="C6" i="3"/>
  <c r="F5" i="3"/>
  <c r="N5" i="2" s="1"/>
  <c r="E5" i="3"/>
  <c r="D5" i="3"/>
  <c r="G5" i="3" s="1" a="1"/>
  <c r="G5" i="3" s="1"/>
  <c r="C5" i="3"/>
  <c r="F4" i="3"/>
  <c r="E4" i="3"/>
  <c r="D4" i="3"/>
  <c r="C4" i="3"/>
  <c r="G4" i="3" s="1" a="1"/>
  <c r="G4" i="3" s="1"/>
  <c r="A4" i="3"/>
  <c r="A5" i="3" s="1"/>
  <c r="A6" i="3" s="1"/>
  <c r="A7" i="3" s="1"/>
  <c r="A8" i="3" s="1"/>
  <c r="A9" i="3" s="1"/>
  <c r="A10" i="3" s="1"/>
  <c r="A11" i="3" s="1"/>
  <c r="A12" i="3" s="1"/>
  <c r="G3" i="3" a="1"/>
  <c r="G3" i="3" s="1"/>
  <c r="F3" i="3"/>
  <c r="E3" i="3"/>
  <c r="L3" i="2" s="1"/>
  <c r="L4" i="2" s="1"/>
  <c r="D3" i="3"/>
  <c r="C3" i="3"/>
  <c r="A3" i="3"/>
  <c r="G2" i="3" a="1"/>
  <c r="G2" i="3" s="1"/>
  <c r="N51" i="2"/>
  <c r="F52" i="5" s="1"/>
  <c r="N50" i="2"/>
  <c r="F51" i="5" s="1"/>
  <c r="N49" i="2"/>
  <c r="F50" i="5" s="1"/>
  <c r="N47" i="2"/>
  <c r="F48" i="5" s="1"/>
  <c r="M47" i="2"/>
  <c r="E48" i="5" s="1"/>
  <c r="N46" i="2"/>
  <c r="F47" i="5" s="1"/>
  <c r="N43" i="2"/>
  <c r="M44" i="2" s="1"/>
  <c r="E45" i="5" s="1"/>
  <c r="M43" i="2"/>
  <c r="E44" i="5" s="1"/>
  <c r="N42" i="2"/>
  <c r="F43" i="5" s="1"/>
  <c r="M41" i="2"/>
  <c r="E42" i="5" s="1"/>
  <c r="N40" i="2"/>
  <c r="F41" i="5" s="1"/>
  <c r="M40" i="2"/>
  <c r="E41" i="5" s="1"/>
  <c r="N39" i="2"/>
  <c r="F40" i="5" s="1"/>
  <c r="N37" i="2"/>
  <c r="F38" i="5" s="1"/>
  <c r="M37" i="2"/>
  <c r="E38" i="5" s="1"/>
  <c r="N36" i="2"/>
  <c r="F37" i="5" s="1"/>
  <c r="M36" i="2"/>
  <c r="E37" i="5" s="1"/>
  <c r="N35" i="2"/>
  <c r="F36" i="5" s="1"/>
  <c r="M34" i="2"/>
  <c r="E35" i="5" s="1"/>
  <c r="N33" i="2"/>
  <c r="F34" i="5" s="1"/>
  <c r="M33" i="2"/>
  <c r="E34" i="5" s="1"/>
  <c r="N32" i="2"/>
  <c r="F33" i="5" s="1"/>
  <c r="N30" i="2"/>
  <c r="M31" i="2" s="1"/>
  <c r="M30" i="2"/>
  <c r="E31" i="5" s="1"/>
  <c r="N29" i="2"/>
  <c r="F30" i="5" s="1"/>
  <c r="N27" i="2"/>
  <c r="M27" i="2"/>
  <c r="E28" i="5" s="1"/>
  <c r="N26" i="2"/>
  <c r="F27" i="5" s="1"/>
  <c r="N25" i="2"/>
  <c r="M26" i="2" s="1"/>
  <c r="N23" i="2"/>
  <c r="F24" i="5" s="1"/>
  <c r="N22" i="2"/>
  <c r="F23" i="5" s="1"/>
  <c r="N21" i="2"/>
  <c r="F22" i="5" s="1"/>
  <c r="M21" i="2"/>
  <c r="E22" i="5" s="1"/>
  <c r="N20" i="2"/>
  <c r="F21" i="5" s="1"/>
  <c r="M19" i="2"/>
  <c r="E20" i="5" s="1"/>
  <c r="N18" i="2"/>
  <c r="F19" i="5" s="1"/>
  <c r="N17" i="2"/>
  <c r="F18" i="5" s="1"/>
  <c r="N16" i="2"/>
  <c r="M17" i="2" s="1"/>
  <c r="N15" i="2"/>
  <c r="F16" i="5" s="1"/>
  <c r="M14" i="2"/>
  <c r="E15" i="5" s="1"/>
  <c r="N13" i="2"/>
  <c r="F14" i="5" s="1"/>
  <c r="M13" i="2"/>
  <c r="E14" i="5" s="1"/>
  <c r="N12" i="2"/>
  <c r="F13" i="5" s="1"/>
  <c r="N11" i="2"/>
  <c r="M12" i="2" s="1"/>
  <c r="E13" i="5" s="1"/>
  <c r="N10" i="2"/>
  <c r="F11" i="5" s="1"/>
  <c r="M10" i="2"/>
  <c r="E11" i="5" s="1"/>
  <c r="N9" i="2"/>
  <c r="F10" i="5" s="1"/>
  <c r="N7" i="2"/>
  <c r="F8" i="5" s="1"/>
  <c r="N6" i="2"/>
  <c r="F7" i="5" s="1"/>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N4" i="2"/>
  <c r="F5" i="5" s="1"/>
  <c r="I4" i="2"/>
  <c r="A4" i="2"/>
  <c r="N3" i="2"/>
  <c r="F4" i="5" s="1"/>
  <c r="M3" i="2"/>
  <c r="E4" i="5" s="1"/>
  <c r="J3" i="2"/>
  <c r="E4" i="6" s="1"/>
  <c r="I3" i="2"/>
  <c r="G3" i="2"/>
  <c r="E4" i="7" s="1"/>
  <c r="F3" i="2"/>
  <c r="D3" i="2"/>
  <c r="E4" i="8" s="1"/>
  <c r="C3" i="2"/>
  <c r="A3" i="2"/>
  <c r="G29" i="8" l="1"/>
  <c r="G29" i="7"/>
  <c r="G29" i="6"/>
  <c r="G29" i="5"/>
  <c r="G35" i="8"/>
  <c r="G35" i="7"/>
  <c r="G35" i="6"/>
  <c r="G35" i="5"/>
  <c r="F29" i="5"/>
  <c r="M29" i="2"/>
  <c r="H4" i="4"/>
  <c r="G3" i="8"/>
  <c r="D3" i="8"/>
  <c r="G3" i="7"/>
  <c r="D3" i="6"/>
  <c r="D3" i="7"/>
  <c r="J4" i="4"/>
  <c r="I4" i="4"/>
  <c r="G4" i="4"/>
  <c r="E4" i="4"/>
  <c r="D4" i="4"/>
  <c r="C4" i="4"/>
  <c r="B4" i="4"/>
  <c r="G3" i="5"/>
  <c r="D3" i="5"/>
  <c r="G3" i="6"/>
  <c r="G30" i="8"/>
  <c r="G30" i="6"/>
  <c r="G30" i="5"/>
  <c r="G30" i="7"/>
  <c r="G11" i="7"/>
  <c r="G11" i="6"/>
  <c r="G11" i="5"/>
  <c r="G11" i="8"/>
  <c r="G23" i="8"/>
  <c r="G23" i="7"/>
  <c r="G23" i="6"/>
  <c r="G23" i="5"/>
  <c r="G24" i="8"/>
  <c r="G24" i="7"/>
  <c r="G24" i="6"/>
  <c r="G24" i="5"/>
  <c r="F42" i="5"/>
  <c r="M42" i="2"/>
  <c r="E27" i="5"/>
  <c r="S7" i="4"/>
  <c r="A8" i="4"/>
  <c r="G37" i="8"/>
  <c r="G37" i="7"/>
  <c r="G37" i="6"/>
  <c r="G37" i="5"/>
  <c r="F49" i="5"/>
  <c r="M49" i="2"/>
  <c r="G31" i="8"/>
  <c r="G31" i="7"/>
  <c r="G31" i="6"/>
  <c r="G31" i="5"/>
  <c r="G4" i="8"/>
  <c r="D4" i="8"/>
  <c r="G4" i="7"/>
  <c r="D4" i="7"/>
  <c r="G4" i="6"/>
  <c r="D4" i="6"/>
  <c r="G4" i="5"/>
  <c r="D4" i="5"/>
  <c r="G5" i="4"/>
  <c r="E5" i="4"/>
  <c r="B4" i="5" s="1"/>
  <c r="D5" i="4"/>
  <c r="B4" i="6" s="1"/>
  <c r="K3" i="2"/>
  <c r="C5" i="4"/>
  <c r="B4" i="7" s="1"/>
  <c r="B5" i="4"/>
  <c r="B4" i="8" s="1"/>
  <c r="H3" i="2"/>
  <c r="E3" i="2"/>
  <c r="B3" i="2"/>
  <c r="C4" i="8" s="1"/>
  <c r="J5" i="4"/>
  <c r="I5" i="4"/>
  <c r="H5" i="4"/>
  <c r="A13" i="3"/>
  <c r="B12" i="3"/>
  <c r="G13" i="8" s="1"/>
  <c r="G12" i="5"/>
  <c r="G12" i="8"/>
  <c r="G12" i="7"/>
  <c r="G12" i="6"/>
  <c r="G43" i="7"/>
  <c r="G43" i="6"/>
  <c r="G43" i="5"/>
  <c r="G43" i="8"/>
  <c r="G5" i="8"/>
  <c r="G5" i="7"/>
  <c r="G5" i="6"/>
  <c r="D5" i="6"/>
  <c r="G5" i="5"/>
  <c r="D5" i="5"/>
  <c r="J6" i="4"/>
  <c r="I6" i="4"/>
  <c r="E6" i="4"/>
  <c r="B5" i="5" s="1"/>
  <c r="K4" i="2"/>
  <c r="D6" i="4"/>
  <c r="B5" i="6" s="1"/>
  <c r="H4" i="2"/>
  <c r="E4" i="2"/>
  <c r="B4" i="2"/>
  <c r="C5" i="8" s="1"/>
  <c r="G25" i="6"/>
  <c r="G25" i="8"/>
  <c r="G25" i="5"/>
  <c r="G25" i="7"/>
  <c r="G44" i="5"/>
  <c r="G44" i="8"/>
  <c r="G44" i="7"/>
  <c r="G44" i="6"/>
  <c r="G32" i="8"/>
  <c r="G32" i="7"/>
  <c r="G32" i="6"/>
  <c r="G32" i="5"/>
  <c r="G51" i="8"/>
  <c r="G51" i="7"/>
  <c r="G51" i="6"/>
  <c r="G51" i="5"/>
  <c r="G6" i="8"/>
  <c r="G6" i="7"/>
  <c r="G6" i="6"/>
  <c r="G6" i="5"/>
  <c r="K5" i="2"/>
  <c r="H5" i="2"/>
  <c r="B5" i="2"/>
  <c r="C6" i="8" s="1"/>
  <c r="G14" i="7"/>
  <c r="G14" i="6"/>
  <c r="G14" i="5"/>
  <c r="F32" i="5"/>
  <c r="M32" i="2"/>
  <c r="G48" i="5"/>
  <c r="G48" i="8"/>
  <c r="G48" i="7"/>
  <c r="G48" i="6"/>
  <c r="G20" i="8"/>
  <c r="G20" i="7"/>
  <c r="G20" i="6"/>
  <c r="G20" i="5"/>
  <c r="F6" i="5"/>
  <c r="M6" i="2"/>
  <c r="G45" i="8"/>
  <c r="G45" i="7"/>
  <c r="G45" i="6"/>
  <c r="G45" i="5"/>
  <c r="F9" i="5"/>
  <c r="M9" i="2"/>
  <c r="G52" i="8"/>
  <c r="G52" i="7"/>
  <c r="G52" i="6"/>
  <c r="G52" i="5"/>
  <c r="F45" i="5"/>
  <c r="M45" i="2"/>
  <c r="F39" i="5"/>
  <c r="M39" i="2"/>
  <c r="F35" i="5"/>
  <c r="M35" i="2"/>
  <c r="G21" i="8"/>
  <c r="G21" i="7"/>
  <c r="G21" i="6"/>
  <c r="G21" i="5"/>
  <c r="G33" i="8"/>
  <c r="G33" i="7"/>
  <c r="G33" i="6"/>
  <c r="G33" i="5"/>
  <c r="G39" i="6"/>
  <c r="G39" i="8"/>
  <c r="G39" i="7"/>
  <c r="G39" i="5"/>
  <c r="G13" i="7"/>
  <c r="G13" i="6"/>
  <c r="G13" i="5"/>
  <c r="G27" i="8"/>
  <c r="G27" i="7"/>
  <c r="G27" i="6"/>
  <c r="G27" i="5"/>
  <c r="G15" i="8"/>
  <c r="G15" i="7"/>
  <c r="G15" i="6"/>
  <c r="G15" i="5"/>
  <c r="F15" i="5"/>
  <c r="M15" i="2"/>
  <c r="G40" i="8"/>
  <c r="G40" i="7"/>
  <c r="G40" i="6"/>
  <c r="G40" i="5"/>
  <c r="G17" i="8"/>
  <c r="G17" i="7"/>
  <c r="G17" i="6"/>
  <c r="G17" i="5"/>
  <c r="E32" i="5"/>
  <c r="F20" i="5"/>
  <c r="M20" i="2"/>
  <c r="G28" i="8"/>
  <c r="G28" i="7"/>
  <c r="G28" i="6"/>
  <c r="G28" i="5"/>
  <c r="F46" i="5"/>
  <c r="M46" i="2"/>
  <c r="G8" i="8"/>
  <c r="G8" i="7"/>
  <c r="G8" i="6"/>
  <c r="G8" i="5"/>
  <c r="M25" i="2"/>
  <c r="F25" i="5"/>
  <c r="G9" i="8"/>
  <c r="G9" i="7"/>
  <c r="G9" i="6"/>
  <c r="G9" i="5"/>
  <c r="G47" i="8"/>
  <c r="G47" i="7"/>
  <c r="G47" i="6"/>
  <c r="G47" i="5"/>
  <c r="G10" i="8"/>
  <c r="G10" i="7"/>
  <c r="G10" i="6"/>
  <c r="G10" i="5"/>
  <c r="E18" i="5"/>
  <c r="G41" i="8"/>
  <c r="G41" i="7"/>
  <c r="G41" i="6"/>
  <c r="G41" i="5"/>
  <c r="A1" i="8"/>
  <c r="A1" i="7"/>
  <c r="A1" i="6"/>
  <c r="A1" i="5"/>
  <c r="F17" i="5"/>
  <c r="G48" i="3" a="1"/>
  <c r="G48" i="3" s="1"/>
  <c r="C4" i="2"/>
  <c r="G6" i="4" s="1"/>
  <c r="M22" i="2"/>
  <c r="G49" i="3" a="1"/>
  <c r="G49" i="3" s="1"/>
  <c r="M48" i="2"/>
  <c r="M8" i="2"/>
  <c r="F4" i="2"/>
  <c r="H6" i="4" s="1"/>
  <c r="G45" i="3" a="1"/>
  <c r="G45" i="3" s="1"/>
  <c r="M28" i="2"/>
  <c r="F28" i="5"/>
  <c r="G41" i="3" a="1"/>
  <c r="G41" i="3" s="1"/>
  <c r="G19" i="8"/>
  <c r="G19" i="7"/>
  <c r="G19" i="6"/>
  <c r="G19" i="5"/>
  <c r="G16" i="5"/>
  <c r="G16" i="8"/>
  <c r="G37" i="3" a="1"/>
  <c r="G37" i="3" s="1"/>
  <c r="M51" i="2"/>
  <c r="E52" i="5" s="1"/>
  <c r="G7" i="6"/>
  <c r="G7" i="8"/>
  <c r="G7" i="7"/>
  <c r="G33" i="3" a="1"/>
  <c r="G33" i="3" s="1"/>
  <c r="G7" i="5"/>
  <c r="M4" i="2"/>
  <c r="M18" i="2"/>
  <c r="M11" i="2"/>
  <c r="F44" i="5"/>
  <c r="G16" i="6"/>
  <c r="S6" i="4"/>
  <c r="F26" i="5"/>
  <c r="M23" i="2"/>
  <c r="G25" i="3" a="1"/>
  <c r="G25" i="3" s="1"/>
  <c r="M16" i="2"/>
  <c r="G21" i="3" a="1"/>
  <c r="G21" i="3" s="1"/>
  <c r="G17" i="3" a="1"/>
  <c r="G17" i="3" s="1"/>
  <c r="F12" i="5"/>
  <c r="M7" i="2"/>
  <c r="G36" i="8"/>
  <c r="G36" i="7"/>
  <c r="G36" i="6"/>
  <c r="G36" i="5"/>
  <c r="F31" i="5"/>
  <c r="M5" i="2"/>
  <c r="M38" i="2"/>
  <c r="M24" i="2"/>
  <c r="M50" i="2"/>
  <c r="E40" i="5" l="1"/>
  <c r="E49" i="5"/>
  <c r="E47" i="5"/>
  <c r="G18" i="8"/>
  <c r="G18" i="7"/>
  <c r="G18" i="6"/>
  <c r="G18" i="5"/>
  <c r="G38" i="8"/>
  <c r="G38" i="7"/>
  <c r="G38" i="6"/>
  <c r="G38" i="5"/>
  <c r="E46" i="5"/>
  <c r="G50" i="8"/>
  <c r="G50" i="7"/>
  <c r="G50" i="6"/>
  <c r="G50" i="5"/>
  <c r="E16" i="5"/>
  <c r="D5" i="7"/>
  <c r="G22" i="8"/>
  <c r="G22" i="7"/>
  <c r="G22" i="6"/>
  <c r="G22" i="5"/>
  <c r="D5" i="8"/>
  <c r="B3" i="8"/>
  <c r="T4" i="4"/>
  <c r="T5" i="4"/>
  <c r="B3" i="7"/>
  <c r="U4" i="4"/>
  <c r="U6" i="4"/>
  <c r="U5" i="4"/>
  <c r="V5" i="4"/>
  <c r="B3" i="6"/>
  <c r="V4" i="4"/>
  <c r="V6" i="4"/>
  <c r="E17" i="5"/>
  <c r="E24" i="5"/>
  <c r="E26" i="5"/>
  <c r="B3" i="5"/>
  <c r="W6" i="4"/>
  <c r="W4" i="4"/>
  <c r="W5" i="4"/>
  <c r="E7" i="5"/>
  <c r="E23" i="5"/>
  <c r="E5" i="2"/>
  <c r="A9" i="4"/>
  <c r="S8" i="4"/>
  <c r="E39" i="5"/>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B13" i="3"/>
  <c r="G49" i="8"/>
  <c r="G49" i="7"/>
  <c r="G49" i="6"/>
  <c r="G49" i="5"/>
  <c r="F5" i="8"/>
  <c r="C5" i="7"/>
  <c r="D5" i="2"/>
  <c r="E43" i="5"/>
  <c r="F6" i="7"/>
  <c r="C6" i="6"/>
  <c r="G6" i="2"/>
  <c r="F5" i="7"/>
  <c r="C5" i="6"/>
  <c r="G5" i="2"/>
  <c r="F4" i="8"/>
  <c r="C4" i="7"/>
  <c r="D4" i="2"/>
  <c r="E6" i="5"/>
  <c r="G26" i="8"/>
  <c r="G26" i="7"/>
  <c r="G1" i="7" s="1"/>
  <c r="G26" i="6"/>
  <c r="G1" i="6" s="1"/>
  <c r="G26" i="5"/>
  <c r="G1" i="5" s="1"/>
  <c r="G42" i="8"/>
  <c r="G42" i="7"/>
  <c r="G42" i="6"/>
  <c r="G42" i="5"/>
  <c r="F6" i="6"/>
  <c r="C6" i="5"/>
  <c r="J6" i="2"/>
  <c r="B6" i="4"/>
  <c r="B5" i="8" s="1"/>
  <c r="F4" i="7"/>
  <c r="C4" i="6"/>
  <c r="G4" i="2"/>
  <c r="E30" i="5"/>
  <c r="E12" i="5"/>
  <c r="C6" i="4"/>
  <c r="B5" i="7" s="1"/>
  <c r="E19" i="5"/>
  <c r="E5" i="5"/>
  <c r="L5" i="2"/>
  <c r="L6" i="2" s="1"/>
  <c r="E21" i="5"/>
  <c r="E8" i="5"/>
  <c r="E29" i="5"/>
  <c r="E10" i="5"/>
  <c r="E33" i="5"/>
  <c r="E9" i="5"/>
  <c r="F5" i="6"/>
  <c r="C5" i="5"/>
  <c r="J5" i="2"/>
  <c r="F4" i="6"/>
  <c r="J4" i="2"/>
  <c r="C4" i="5"/>
  <c r="E50" i="5"/>
  <c r="G46" i="8"/>
  <c r="G46" i="7"/>
  <c r="G46" i="6"/>
  <c r="G46" i="5"/>
  <c r="E51" i="5"/>
  <c r="E25" i="5"/>
  <c r="E36" i="5"/>
  <c r="G34" i="7"/>
  <c r="G34" i="8"/>
  <c r="G34" i="5"/>
  <c r="G34" i="6"/>
  <c r="K7" i="2" l="1"/>
  <c r="D7" i="5"/>
  <c r="J8" i="4"/>
  <c r="E8" i="4"/>
  <c r="B7" i="5" s="1"/>
  <c r="L7" i="2"/>
  <c r="F6" i="8"/>
  <c r="C6" i="7"/>
  <c r="D6" i="2"/>
  <c r="E5" i="7"/>
  <c r="F5" i="2"/>
  <c r="E7" i="6"/>
  <c r="E5" i="6"/>
  <c r="I5" i="2"/>
  <c r="E6" i="6"/>
  <c r="I6" i="2"/>
  <c r="A10" i="4"/>
  <c r="S9" i="4"/>
  <c r="E5" i="8"/>
  <c r="C5" i="2"/>
  <c r="E6" i="8"/>
  <c r="C6" i="2"/>
  <c r="K6" i="2"/>
  <c r="D6" i="5"/>
  <c r="J7" i="4"/>
  <c r="E7" i="4"/>
  <c r="E7" i="7"/>
  <c r="E6" i="7"/>
  <c r="F6" i="2"/>
  <c r="G14" i="8"/>
  <c r="G1" i="8" s="1"/>
  <c r="T6" i="4"/>
  <c r="D7" i="7" l="1"/>
  <c r="C8" i="4"/>
  <c r="B7" i="7" s="1"/>
  <c r="H8" i="4"/>
  <c r="E7" i="2"/>
  <c r="D6" i="6"/>
  <c r="I7" i="4"/>
  <c r="H6" i="2"/>
  <c r="D7" i="4"/>
  <c r="D7" i="8"/>
  <c r="B8" i="4"/>
  <c r="B7" i="8" s="1"/>
  <c r="G8" i="4"/>
  <c r="F7" i="2"/>
  <c r="B6" i="5"/>
  <c r="W8" i="4"/>
  <c r="W7" i="4"/>
  <c r="B6" i="2"/>
  <c r="C7" i="8" s="1"/>
  <c r="G7" i="4"/>
  <c r="B7" i="4"/>
  <c r="D6" i="8"/>
  <c r="I8" i="4"/>
  <c r="H7" i="2"/>
  <c r="D8" i="4"/>
  <c r="B7" i="6" s="1"/>
  <c r="D7" i="6"/>
  <c r="E6" i="2"/>
  <c r="D6" i="7"/>
  <c r="H7" i="4"/>
  <c r="C7" i="4"/>
  <c r="I7" i="2"/>
  <c r="A11" i="4"/>
  <c r="S10" i="4"/>
  <c r="J9" i="4"/>
  <c r="K8" i="2"/>
  <c r="D8" i="5"/>
  <c r="E9" i="4"/>
  <c r="B8" i="5" s="1"/>
  <c r="L8" i="2"/>
  <c r="C7" i="5"/>
  <c r="J7" i="2"/>
  <c r="F7" i="6"/>
  <c r="E7" i="8"/>
  <c r="C7" i="2"/>
  <c r="C8" i="5"/>
  <c r="F8" i="6"/>
  <c r="J8" i="2"/>
  <c r="E9" i="6" l="1"/>
  <c r="C7" i="6"/>
  <c r="F7" i="7"/>
  <c r="G7" i="2"/>
  <c r="W9" i="4"/>
  <c r="E8" i="2"/>
  <c r="D8" i="7"/>
  <c r="H9" i="4"/>
  <c r="C9" i="4"/>
  <c r="B8" i="7" s="1"/>
  <c r="B6" i="7"/>
  <c r="U9" i="4"/>
  <c r="U8" i="4"/>
  <c r="U7" i="4"/>
  <c r="B6" i="6"/>
  <c r="V8" i="4"/>
  <c r="V7" i="4"/>
  <c r="D8" i="8"/>
  <c r="G9" i="4"/>
  <c r="B9" i="4"/>
  <c r="B8" i="8" s="1"/>
  <c r="E8" i="6"/>
  <c r="I8" i="2"/>
  <c r="D9" i="4"/>
  <c r="B8" i="6" s="1"/>
  <c r="H8" i="2"/>
  <c r="I9" i="4"/>
  <c r="D8" i="6"/>
  <c r="F8" i="8"/>
  <c r="C8" i="7"/>
  <c r="D8" i="2"/>
  <c r="C7" i="7"/>
  <c r="F7" i="8"/>
  <c r="D7" i="2"/>
  <c r="F8" i="7"/>
  <c r="C8" i="6"/>
  <c r="G8" i="2"/>
  <c r="B6" i="8"/>
  <c r="T8" i="4"/>
  <c r="T7" i="4"/>
  <c r="J10" i="4"/>
  <c r="K9" i="2"/>
  <c r="E10" i="4"/>
  <c r="D9" i="5"/>
  <c r="L9" i="2"/>
  <c r="F9" i="6"/>
  <c r="C9" i="5"/>
  <c r="J9" i="2"/>
  <c r="A12" i="4"/>
  <c r="S11" i="4"/>
  <c r="B7" i="2"/>
  <c r="C8" i="8" s="1"/>
  <c r="W10" i="4"/>
  <c r="D10" i="4" l="1"/>
  <c r="I10" i="4"/>
  <c r="H9" i="2"/>
  <c r="D9" i="6"/>
  <c r="V9" i="4"/>
  <c r="B8" i="2"/>
  <c r="C9" i="8" s="1"/>
  <c r="E8" i="8"/>
  <c r="C8" i="2"/>
  <c r="F9" i="8"/>
  <c r="C9" i="7"/>
  <c r="D9" i="2"/>
  <c r="E9" i="7"/>
  <c r="F9" i="2"/>
  <c r="E8" i="7"/>
  <c r="F8" i="2"/>
  <c r="B9" i="5"/>
  <c r="I10" i="2"/>
  <c r="E10" i="6"/>
  <c r="I9" i="2"/>
  <c r="D10" i="5"/>
  <c r="J11" i="4"/>
  <c r="K10" i="2"/>
  <c r="E11" i="4"/>
  <c r="W11" i="4" s="1"/>
  <c r="L10" i="2"/>
  <c r="F10" i="6"/>
  <c r="C10" i="5"/>
  <c r="J10" i="2"/>
  <c r="E9" i="8"/>
  <c r="F9" i="7"/>
  <c r="C9" i="6"/>
  <c r="G9" i="2"/>
  <c r="S12" i="4"/>
  <c r="A13" i="4"/>
  <c r="T9" i="4"/>
  <c r="D10" i="7" l="1"/>
  <c r="H11" i="4"/>
  <c r="C11" i="4"/>
  <c r="B10" i="7" s="1"/>
  <c r="E10" i="2"/>
  <c r="E10" i="7"/>
  <c r="F10" i="2"/>
  <c r="B10" i="5"/>
  <c r="E11" i="6"/>
  <c r="I11" i="2"/>
  <c r="D11" i="6"/>
  <c r="I12" i="4"/>
  <c r="H11" i="2"/>
  <c r="D12" i="4"/>
  <c r="B11" i="6" s="1"/>
  <c r="B10" i="4"/>
  <c r="B9" i="2"/>
  <c r="C10" i="8" s="1"/>
  <c r="D9" i="8"/>
  <c r="G10" i="4"/>
  <c r="L11" i="2"/>
  <c r="D11" i="5"/>
  <c r="J12" i="4"/>
  <c r="K11" i="2"/>
  <c r="E12" i="4"/>
  <c r="F10" i="7"/>
  <c r="C10" i="6"/>
  <c r="G10" i="2"/>
  <c r="C9" i="2"/>
  <c r="F11" i="6"/>
  <c r="C11" i="5"/>
  <c r="J11" i="2"/>
  <c r="C10" i="4"/>
  <c r="E9" i="2"/>
  <c r="H10" i="4"/>
  <c r="D9" i="7"/>
  <c r="B9" i="6"/>
  <c r="E10" i="8"/>
  <c r="I11" i="4"/>
  <c r="D10" i="6"/>
  <c r="D11" i="4"/>
  <c r="H10" i="2"/>
  <c r="V11" i="4"/>
  <c r="V10" i="4"/>
  <c r="A14" i="4"/>
  <c r="S13" i="4"/>
  <c r="G11" i="4" l="1"/>
  <c r="D10" i="8"/>
  <c r="B11" i="4"/>
  <c r="B10" i="8" s="1"/>
  <c r="B10" i="2"/>
  <c r="C11" i="8" s="1"/>
  <c r="E11" i="7"/>
  <c r="F11" i="2"/>
  <c r="B9" i="7"/>
  <c r="U10" i="4"/>
  <c r="U11" i="4"/>
  <c r="F10" i="8"/>
  <c r="C10" i="7"/>
  <c r="D10" i="2"/>
  <c r="A15" i="4"/>
  <c r="S14" i="4"/>
  <c r="F11" i="8"/>
  <c r="C11" i="7"/>
  <c r="D11" i="2"/>
  <c r="D13" i="4"/>
  <c r="H12" i="2"/>
  <c r="D12" i="6"/>
  <c r="I13" i="4"/>
  <c r="B10" i="6"/>
  <c r="V12" i="4"/>
  <c r="C12" i="5"/>
  <c r="J12" i="2"/>
  <c r="F12" i="6"/>
  <c r="E13" i="4"/>
  <c r="K12" i="2"/>
  <c r="J13" i="4"/>
  <c r="D12" i="5"/>
  <c r="L12" i="2"/>
  <c r="B9" i="8"/>
  <c r="T10" i="4"/>
  <c r="T11" i="4"/>
  <c r="C12" i="4"/>
  <c r="B11" i="7" s="1"/>
  <c r="D11" i="7"/>
  <c r="H12" i="4"/>
  <c r="E11" i="2"/>
  <c r="F11" i="7"/>
  <c r="C11" i="6"/>
  <c r="G11" i="2"/>
  <c r="I12" i="2"/>
  <c r="E12" i="6"/>
  <c r="C10" i="2"/>
  <c r="B11" i="5"/>
  <c r="W13" i="4"/>
  <c r="W12" i="4"/>
  <c r="F12" i="7"/>
  <c r="G12" i="2"/>
  <c r="C12" i="6"/>
  <c r="U12" i="4" l="1"/>
  <c r="E11" i="8"/>
  <c r="C11" i="2"/>
  <c r="F13" i="7"/>
  <c r="C13" i="6"/>
  <c r="G13" i="2"/>
  <c r="K13" i="2"/>
  <c r="L13" i="2"/>
  <c r="D13" i="5"/>
  <c r="J14" i="4"/>
  <c r="E14" i="4"/>
  <c r="A16" i="4"/>
  <c r="S15" i="4"/>
  <c r="C13" i="4"/>
  <c r="E12" i="2"/>
  <c r="D12" i="7"/>
  <c r="H13" i="4"/>
  <c r="F13" i="6"/>
  <c r="C13" i="5"/>
  <c r="J13" i="2"/>
  <c r="V13" i="4"/>
  <c r="B12" i="6"/>
  <c r="B12" i="5"/>
  <c r="W14" i="4"/>
  <c r="E13" i="6"/>
  <c r="I13" i="2"/>
  <c r="B12" i="4"/>
  <c r="B11" i="2"/>
  <c r="C12" i="8" s="1"/>
  <c r="D11" i="8"/>
  <c r="G12" i="4"/>
  <c r="F12" i="2"/>
  <c r="F13" i="2" s="1"/>
  <c r="E12" i="7"/>
  <c r="H13" i="2"/>
  <c r="D13" i="6"/>
  <c r="I14" i="4"/>
  <c r="D14" i="4"/>
  <c r="E12" i="8"/>
  <c r="C12" i="2"/>
  <c r="E13" i="7"/>
  <c r="F12" i="8"/>
  <c r="D12" i="2"/>
  <c r="C12" i="7"/>
  <c r="E14" i="2" l="1"/>
  <c r="D14" i="7"/>
  <c r="H15" i="4"/>
  <c r="C15" i="4"/>
  <c r="B12" i="7"/>
  <c r="F14" i="7"/>
  <c r="C14" i="6"/>
  <c r="G14" i="2"/>
  <c r="G14" i="4"/>
  <c r="B14" i="4"/>
  <c r="B13" i="8" s="1"/>
  <c r="D13" i="8"/>
  <c r="B13" i="2"/>
  <c r="C14" i="8" s="1"/>
  <c r="E14" i="7"/>
  <c r="F14" i="2"/>
  <c r="B13" i="4"/>
  <c r="B12" i="2"/>
  <c r="C13" i="8" s="1"/>
  <c r="D12" i="8"/>
  <c r="G13" i="4"/>
  <c r="B13" i="6"/>
  <c r="V14" i="4"/>
  <c r="B11" i="8"/>
  <c r="T12" i="4"/>
  <c r="F13" i="8"/>
  <c r="C13" i="7"/>
  <c r="D13" i="2"/>
  <c r="A17" i="4"/>
  <c r="S16" i="4"/>
  <c r="B13" i="5"/>
  <c r="E13" i="8"/>
  <c r="C13" i="2"/>
  <c r="I15" i="4"/>
  <c r="H14" i="2"/>
  <c r="D14" i="6"/>
  <c r="D15" i="4"/>
  <c r="D13" i="7"/>
  <c r="E13" i="2"/>
  <c r="H14" i="4"/>
  <c r="C14" i="4"/>
  <c r="U13" i="4"/>
  <c r="F14" i="6"/>
  <c r="C14" i="5"/>
  <c r="J14" i="2"/>
  <c r="E14" i="6"/>
  <c r="I14" i="2"/>
  <c r="L14" i="2"/>
  <c r="J15" i="4"/>
  <c r="K14" i="2"/>
  <c r="D14" i="5"/>
  <c r="E15" i="4"/>
  <c r="S17" i="4" l="1"/>
  <c r="A18" i="4"/>
  <c r="B13" i="7"/>
  <c r="U14" i="4"/>
  <c r="D15" i="5"/>
  <c r="L15" i="2"/>
  <c r="K15" i="2"/>
  <c r="J16" i="4"/>
  <c r="E16" i="4"/>
  <c r="T14" i="4"/>
  <c r="H15" i="2"/>
  <c r="D15" i="6"/>
  <c r="I16" i="4"/>
  <c r="D16" i="4"/>
  <c r="E15" i="6"/>
  <c r="I15" i="2"/>
  <c r="B12" i="8"/>
  <c r="T13" i="4"/>
  <c r="B14" i="6"/>
  <c r="V15" i="4"/>
  <c r="E15" i="7"/>
  <c r="F15" i="2"/>
  <c r="B14" i="7"/>
  <c r="U15" i="4"/>
  <c r="E14" i="8"/>
  <c r="C14" i="2"/>
  <c r="B15" i="4"/>
  <c r="B14" i="8" s="1"/>
  <c r="B14" i="2"/>
  <c r="C15" i="8" s="1"/>
  <c r="D14" i="8"/>
  <c r="G15" i="4"/>
  <c r="B14" i="5"/>
  <c r="W15" i="4"/>
  <c r="F14" i="8"/>
  <c r="C14" i="7"/>
  <c r="D14" i="2"/>
  <c r="D15" i="7"/>
  <c r="H16" i="4"/>
  <c r="E15" i="2"/>
  <c r="C16" i="4"/>
  <c r="F15" i="7"/>
  <c r="C15" i="6"/>
  <c r="G15" i="2"/>
  <c r="F15" i="6"/>
  <c r="C15" i="5"/>
  <c r="J15" i="2"/>
  <c r="F15" i="8"/>
  <c r="C15" i="7"/>
  <c r="D15" i="2"/>
  <c r="T15" i="4" l="1"/>
  <c r="D15" i="8"/>
  <c r="B15" i="2"/>
  <c r="C16" i="8" s="1"/>
  <c r="B16" i="4"/>
  <c r="G16" i="4"/>
  <c r="C17" i="4"/>
  <c r="H17" i="4"/>
  <c r="D16" i="7"/>
  <c r="E16" i="2"/>
  <c r="D17" i="4"/>
  <c r="I17" i="4"/>
  <c r="D16" i="6"/>
  <c r="H16" i="2"/>
  <c r="E16" i="6"/>
  <c r="I16" i="2"/>
  <c r="C16" i="6"/>
  <c r="G16" i="2"/>
  <c r="F16" i="7"/>
  <c r="B15" i="7"/>
  <c r="U16" i="4"/>
  <c r="B15" i="5"/>
  <c r="W16" i="4"/>
  <c r="E16" i="8"/>
  <c r="J17" i="4"/>
  <c r="D16" i="5"/>
  <c r="E17" i="4"/>
  <c r="K16" i="2"/>
  <c r="L16" i="2"/>
  <c r="B15" i="6"/>
  <c r="V16" i="4"/>
  <c r="C16" i="7"/>
  <c r="F16" i="8"/>
  <c r="D16" i="2"/>
  <c r="A19" i="4"/>
  <c r="S18" i="4"/>
  <c r="F16" i="6"/>
  <c r="C16" i="5"/>
  <c r="J16" i="2"/>
  <c r="E16" i="7"/>
  <c r="F16" i="2"/>
  <c r="C15" i="2"/>
  <c r="C16" i="2" s="1"/>
  <c r="E15" i="8"/>
  <c r="F17" i="6" l="1"/>
  <c r="C17" i="5"/>
  <c r="J17" i="2"/>
  <c r="E17" i="7"/>
  <c r="F17" i="2"/>
  <c r="D16" i="8"/>
  <c r="G17" i="4"/>
  <c r="B17" i="4"/>
  <c r="B16" i="2"/>
  <c r="C17" i="8" s="1"/>
  <c r="B16" i="5"/>
  <c r="W17" i="4"/>
  <c r="I18" i="4"/>
  <c r="D18" i="4"/>
  <c r="D17" i="6"/>
  <c r="H17" i="2"/>
  <c r="G17" i="2"/>
  <c r="F17" i="7"/>
  <c r="C17" i="6"/>
  <c r="B16" i="6"/>
  <c r="V17" i="4"/>
  <c r="E18" i="4"/>
  <c r="J18" i="4"/>
  <c r="D17" i="5"/>
  <c r="K17" i="2"/>
  <c r="L17" i="2"/>
  <c r="B18" i="4"/>
  <c r="D17" i="8"/>
  <c r="G18" i="4"/>
  <c r="B17" i="2"/>
  <c r="C18" i="8" s="1"/>
  <c r="H18" i="4"/>
  <c r="C18" i="4"/>
  <c r="D17" i="7"/>
  <c r="E17" i="2"/>
  <c r="F17" i="8"/>
  <c r="C17" i="7"/>
  <c r="D17" i="2"/>
  <c r="I17" i="2"/>
  <c r="E17" i="6"/>
  <c r="B16" i="7"/>
  <c r="U17" i="4"/>
  <c r="B15" i="8"/>
  <c r="T16" i="4"/>
  <c r="A20" i="4"/>
  <c r="S19" i="4"/>
  <c r="E17" i="8"/>
  <c r="C17" i="2"/>
  <c r="B17" i="7" l="1"/>
  <c r="U18" i="4"/>
  <c r="L18" i="2"/>
  <c r="K18" i="2"/>
  <c r="J19" i="4"/>
  <c r="D18" i="5"/>
  <c r="E19" i="4"/>
  <c r="B17" i="8"/>
  <c r="T18" i="4"/>
  <c r="F18" i="7"/>
  <c r="C18" i="6"/>
  <c r="G18" i="2"/>
  <c r="B17" i="5"/>
  <c r="W18" i="4"/>
  <c r="D18" i="8"/>
  <c r="G19" i="4"/>
  <c r="B19" i="4"/>
  <c r="S20" i="4"/>
  <c r="A21" i="4"/>
  <c r="B16" i="8"/>
  <c r="T17" i="4"/>
  <c r="E18" i="6"/>
  <c r="I18" i="2"/>
  <c r="B18" i="2" s="1"/>
  <c r="C19" i="8" s="1"/>
  <c r="E18" i="7"/>
  <c r="F18" i="2"/>
  <c r="B17" i="6"/>
  <c r="V18" i="4"/>
  <c r="H18" i="2"/>
  <c r="D18" i="6"/>
  <c r="I19" i="4"/>
  <c r="D19" i="4"/>
  <c r="E18" i="2"/>
  <c r="D18" i="7"/>
  <c r="H19" i="4"/>
  <c r="C19" i="4"/>
  <c r="E18" i="8"/>
  <c r="C18" i="2"/>
  <c r="F18" i="6"/>
  <c r="C18" i="5"/>
  <c r="J18" i="2"/>
  <c r="F18" i="8"/>
  <c r="C18" i="7"/>
  <c r="D18" i="2"/>
  <c r="F19" i="7" l="1"/>
  <c r="C19" i="6"/>
  <c r="G19" i="2"/>
  <c r="E19" i="2"/>
  <c r="H20" i="4"/>
  <c r="C20" i="4"/>
  <c r="D19" i="7"/>
  <c r="A22" i="4"/>
  <c r="S21" i="4"/>
  <c r="B18" i="5"/>
  <c r="W19" i="4"/>
  <c r="B18" i="8"/>
  <c r="T19" i="4"/>
  <c r="E19" i="8"/>
  <c r="C19" i="2"/>
  <c r="B18" i="6"/>
  <c r="V19" i="4"/>
  <c r="I20" i="4"/>
  <c r="H19" i="2"/>
  <c r="D19" i="6"/>
  <c r="D20" i="4"/>
  <c r="E19" i="6"/>
  <c r="I19" i="2"/>
  <c r="G20" i="4"/>
  <c r="B19" i="2"/>
  <c r="C20" i="8" s="1"/>
  <c r="D19" i="8"/>
  <c r="B20" i="4"/>
  <c r="F19" i="6"/>
  <c r="C19" i="5"/>
  <c r="J19" i="2"/>
  <c r="E19" i="7"/>
  <c r="F19" i="2"/>
  <c r="B18" i="7"/>
  <c r="U19" i="4"/>
  <c r="J20" i="4"/>
  <c r="D19" i="5"/>
  <c r="E20" i="4"/>
  <c r="K19" i="2"/>
  <c r="L19" i="2"/>
  <c r="F19" i="8"/>
  <c r="C19" i="7"/>
  <c r="D19" i="2"/>
  <c r="E20" i="6" l="1"/>
  <c r="I20" i="2"/>
  <c r="D20" i="7"/>
  <c r="H21" i="4"/>
  <c r="E20" i="2"/>
  <c r="C21" i="4"/>
  <c r="D20" i="6"/>
  <c r="I21" i="4"/>
  <c r="H20" i="2"/>
  <c r="D21" i="4"/>
  <c r="E20" i="8"/>
  <c r="C20" i="2"/>
  <c r="B19" i="8"/>
  <c r="T20" i="4"/>
  <c r="B20" i="2"/>
  <c r="C21" i="8" s="1"/>
  <c r="G21" i="4"/>
  <c r="B21" i="4"/>
  <c r="D20" i="8"/>
  <c r="F20" i="7"/>
  <c r="C20" i="6"/>
  <c r="G20" i="2"/>
  <c r="L20" i="2"/>
  <c r="D20" i="5"/>
  <c r="J21" i="4"/>
  <c r="E21" i="4"/>
  <c r="K20" i="2"/>
  <c r="B19" i="7"/>
  <c r="U20" i="4"/>
  <c r="B19" i="6"/>
  <c r="V20" i="4"/>
  <c r="A23" i="4"/>
  <c r="S22" i="4"/>
  <c r="F20" i="6"/>
  <c r="C20" i="5"/>
  <c r="J20" i="2"/>
  <c r="B19" i="5"/>
  <c r="W20" i="4"/>
  <c r="F20" i="8"/>
  <c r="C20" i="7"/>
  <c r="D20" i="2"/>
  <c r="E20" i="7"/>
  <c r="F20" i="2"/>
  <c r="A24" i="4" l="1"/>
  <c r="S23" i="4"/>
  <c r="E21" i="7"/>
  <c r="F21" i="2"/>
  <c r="F21" i="6"/>
  <c r="J21" i="2"/>
  <c r="C21" i="5"/>
  <c r="B20" i="5"/>
  <c r="W21" i="4"/>
  <c r="B20" i="6"/>
  <c r="V21" i="4"/>
  <c r="B20" i="8"/>
  <c r="T21" i="4"/>
  <c r="C21" i="6"/>
  <c r="G21" i="2"/>
  <c r="F21" i="7"/>
  <c r="E21" i="6"/>
  <c r="I21" i="2"/>
  <c r="D21" i="8"/>
  <c r="G22" i="4"/>
  <c r="B22" i="4"/>
  <c r="B21" i="2"/>
  <c r="C22" i="8" s="1"/>
  <c r="H22" i="4"/>
  <c r="C22" i="4"/>
  <c r="D21" i="7"/>
  <c r="E21" i="2"/>
  <c r="E21" i="8"/>
  <c r="C21" i="2"/>
  <c r="B20" i="7"/>
  <c r="U21" i="4"/>
  <c r="F21" i="8"/>
  <c r="D21" i="2"/>
  <c r="C21" i="7"/>
  <c r="I22" i="4"/>
  <c r="D22" i="4"/>
  <c r="D21" i="6"/>
  <c r="H21" i="2"/>
  <c r="D21" i="5"/>
  <c r="J22" i="4"/>
  <c r="E22" i="4"/>
  <c r="L21" i="2"/>
  <c r="K21" i="2"/>
  <c r="D22" i="8" l="1"/>
  <c r="B23" i="4"/>
  <c r="G23" i="4"/>
  <c r="E22" i="8"/>
  <c r="C22" i="2"/>
  <c r="L22" i="2"/>
  <c r="K22" i="2"/>
  <c r="D22" i="5"/>
  <c r="J23" i="4"/>
  <c r="E23" i="4"/>
  <c r="B21" i="8"/>
  <c r="T22" i="4"/>
  <c r="H22" i="2"/>
  <c r="D22" i="6"/>
  <c r="I23" i="4"/>
  <c r="D23" i="4"/>
  <c r="F22" i="6"/>
  <c r="J22" i="2"/>
  <c r="C22" i="5"/>
  <c r="F22" i="8"/>
  <c r="C22" i="7"/>
  <c r="D22" i="2"/>
  <c r="E22" i="7"/>
  <c r="F22" i="2"/>
  <c r="E22" i="6"/>
  <c r="I22" i="2"/>
  <c r="E22" i="2"/>
  <c r="D22" i="7"/>
  <c r="H23" i="4"/>
  <c r="C23" i="4"/>
  <c r="B21" i="7"/>
  <c r="U22" i="4"/>
  <c r="B21" i="5"/>
  <c r="W22" i="4"/>
  <c r="F22" i="7"/>
  <c r="C22" i="6"/>
  <c r="G22" i="2"/>
  <c r="B21" i="6"/>
  <c r="V22" i="4"/>
  <c r="A25" i="4"/>
  <c r="S24" i="4"/>
  <c r="H23" i="2" l="1"/>
  <c r="D23" i="6"/>
  <c r="I24" i="4"/>
  <c r="D24" i="4"/>
  <c r="C24" i="4"/>
  <c r="D23" i="7"/>
  <c r="E23" i="2"/>
  <c r="H24" i="4"/>
  <c r="E23" i="6"/>
  <c r="I23" i="2"/>
  <c r="B22" i="6"/>
  <c r="V23" i="4"/>
  <c r="F23" i="7"/>
  <c r="C23" i="6"/>
  <c r="G23" i="2"/>
  <c r="F23" i="8"/>
  <c r="C23" i="7"/>
  <c r="D23" i="2"/>
  <c r="B22" i="5"/>
  <c r="W23" i="4"/>
  <c r="K23" i="2"/>
  <c r="D23" i="5"/>
  <c r="J24" i="4"/>
  <c r="E24" i="4"/>
  <c r="L23" i="2"/>
  <c r="A26" i="4"/>
  <c r="S25" i="4"/>
  <c r="D23" i="8"/>
  <c r="B23" i="2"/>
  <c r="C24" i="8" s="1"/>
  <c r="G24" i="4"/>
  <c r="B24" i="4"/>
  <c r="B22" i="7"/>
  <c r="U23" i="4"/>
  <c r="E23" i="8"/>
  <c r="C23" i="2"/>
  <c r="F23" i="6"/>
  <c r="C23" i="5"/>
  <c r="J23" i="2"/>
  <c r="E23" i="7"/>
  <c r="F23" i="2"/>
  <c r="B22" i="8"/>
  <c r="T23" i="4"/>
  <c r="B22" i="2"/>
  <c r="C23" i="8" s="1"/>
  <c r="E25" i="4" l="1"/>
  <c r="K24" i="2"/>
  <c r="D24" i="5"/>
  <c r="J25" i="4"/>
  <c r="L24" i="2"/>
  <c r="E24" i="8"/>
  <c r="C24" i="2"/>
  <c r="B23" i="8"/>
  <c r="T24" i="4"/>
  <c r="B23" i="5"/>
  <c r="W24" i="4"/>
  <c r="I25" i="4"/>
  <c r="H24" i="2"/>
  <c r="D24" i="6"/>
  <c r="D25" i="4"/>
  <c r="F24" i="8"/>
  <c r="C24" i="7"/>
  <c r="D24" i="2"/>
  <c r="F24" i="6"/>
  <c r="C24" i="5"/>
  <c r="J24" i="2"/>
  <c r="A27" i="4"/>
  <c r="S26" i="4"/>
  <c r="B23" i="6"/>
  <c r="V24" i="4"/>
  <c r="E24" i="7"/>
  <c r="F24" i="2"/>
  <c r="H25" i="4"/>
  <c r="C25" i="4"/>
  <c r="E24" i="2"/>
  <c r="D24" i="7"/>
  <c r="E24" i="6"/>
  <c r="I24" i="2"/>
  <c r="B23" i="7"/>
  <c r="U24" i="4"/>
  <c r="G25" i="4"/>
  <c r="B25" i="4"/>
  <c r="D24" i="8"/>
  <c r="B24" i="2"/>
  <c r="C25" i="8" s="1"/>
  <c r="F24" i="7"/>
  <c r="C24" i="6"/>
  <c r="G24" i="2"/>
  <c r="C25" i="7" l="1"/>
  <c r="F25" i="8"/>
  <c r="D25" i="2"/>
  <c r="E25" i="6"/>
  <c r="I25" i="2"/>
  <c r="A28" i="4"/>
  <c r="S27" i="4"/>
  <c r="B24" i="7"/>
  <c r="U25" i="4"/>
  <c r="E25" i="8"/>
  <c r="C25" i="2"/>
  <c r="B24" i="6"/>
  <c r="V25" i="4"/>
  <c r="B26" i="4"/>
  <c r="D25" i="8"/>
  <c r="G26" i="4"/>
  <c r="B25" i="2"/>
  <c r="C26" i="8" s="1"/>
  <c r="F25" i="7"/>
  <c r="C25" i="6"/>
  <c r="G25" i="2"/>
  <c r="D25" i="5"/>
  <c r="J26" i="4"/>
  <c r="E26" i="4"/>
  <c r="L25" i="2"/>
  <c r="K25" i="2"/>
  <c r="C25" i="5"/>
  <c r="F25" i="6"/>
  <c r="J25" i="2"/>
  <c r="D25" i="7"/>
  <c r="H26" i="4"/>
  <c r="C26" i="4"/>
  <c r="E25" i="2"/>
  <c r="E25" i="7"/>
  <c r="F25" i="2"/>
  <c r="B24" i="8"/>
  <c r="T25" i="4"/>
  <c r="D25" i="6"/>
  <c r="I26" i="4"/>
  <c r="D26" i="4"/>
  <c r="H25" i="2"/>
  <c r="B24" i="5"/>
  <c r="W25" i="4"/>
  <c r="B25" i="7" l="1"/>
  <c r="U26" i="4"/>
  <c r="F26" i="6"/>
  <c r="J26" i="2"/>
  <c r="C26" i="5"/>
  <c r="K26" i="2"/>
  <c r="L26" i="2"/>
  <c r="D26" i="5"/>
  <c r="E27" i="4"/>
  <c r="J27" i="4"/>
  <c r="F26" i="8"/>
  <c r="D26" i="2"/>
  <c r="C26" i="7"/>
  <c r="E26" i="7"/>
  <c r="F26" i="2"/>
  <c r="I26" i="2"/>
  <c r="B26" i="2" s="1"/>
  <c r="C27" i="8" s="1"/>
  <c r="E26" i="6"/>
  <c r="B25" i="5"/>
  <c r="W26" i="4"/>
  <c r="B25" i="8"/>
  <c r="T26" i="4"/>
  <c r="D26" i="8"/>
  <c r="B27" i="4"/>
  <c r="G27" i="4"/>
  <c r="F26" i="7"/>
  <c r="C26" i="6"/>
  <c r="G26" i="2"/>
  <c r="A29" i="4"/>
  <c r="S28" i="4"/>
  <c r="E26" i="8"/>
  <c r="C26" i="2"/>
  <c r="B25" i="6"/>
  <c r="V26" i="4"/>
  <c r="H26" i="2"/>
  <c r="I27" i="4"/>
  <c r="D26" i="6"/>
  <c r="D27" i="4"/>
  <c r="E26" i="2"/>
  <c r="D26" i="7"/>
  <c r="H27" i="4"/>
  <c r="C27" i="4"/>
  <c r="G28" i="4" l="1"/>
  <c r="D27" i="8"/>
  <c r="B28" i="4"/>
  <c r="B26" i="8"/>
  <c r="T27" i="4"/>
  <c r="H28" i="4"/>
  <c r="C28" i="4"/>
  <c r="D27" i="7"/>
  <c r="E27" i="2"/>
  <c r="E27" i="7"/>
  <c r="F27" i="2"/>
  <c r="I28" i="4"/>
  <c r="D28" i="4"/>
  <c r="D27" i="6"/>
  <c r="H27" i="2"/>
  <c r="E27" i="8"/>
  <c r="C27" i="2"/>
  <c r="E28" i="4"/>
  <c r="L27" i="2"/>
  <c r="D27" i="5"/>
  <c r="K27" i="2"/>
  <c r="J28" i="4"/>
  <c r="A30" i="4"/>
  <c r="S29" i="4"/>
  <c r="B26" i="5"/>
  <c r="W27" i="4"/>
  <c r="F27" i="8"/>
  <c r="C27" i="7"/>
  <c r="D27" i="2"/>
  <c r="F27" i="6"/>
  <c r="C27" i="5"/>
  <c r="J27" i="2"/>
  <c r="E27" i="6"/>
  <c r="I27" i="2"/>
  <c r="B26" i="7"/>
  <c r="U27" i="4"/>
  <c r="B26" i="6"/>
  <c r="V27" i="4"/>
  <c r="F27" i="7"/>
  <c r="C27" i="6"/>
  <c r="G27" i="2"/>
  <c r="F28" i="8" l="1"/>
  <c r="C28" i="7"/>
  <c r="D28" i="2"/>
  <c r="A31" i="4"/>
  <c r="S30" i="4"/>
  <c r="B27" i="5"/>
  <c r="W28" i="4"/>
  <c r="B27" i="6"/>
  <c r="V28" i="4"/>
  <c r="F28" i="7"/>
  <c r="C28" i="6"/>
  <c r="G28" i="2"/>
  <c r="H29" i="4"/>
  <c r="D28" i="7"/>
  <c r="E28" i="2"/>
  <c r="C29" i="4"/>
  <c r="E28" i="8"/>
  <c r="C28" i="2"/>
  <c r="J29" i="4"/>
  <c r="D28" i="5"/>
  <c r="K28" i="2"/>
  <c r="E29" i="4"/>
  <c r="L28" i="2"/>
  <c r="E28" i="7"/>
  <c r="F28" i="2"/>
  <c r="D29" i="4"/>
  <c r="D28" i="6"/>
  <c r="H28" i="2"/>
  <c r="I29" i="4"/>
  <c r="F28" i="6"/>
  <c r="C28" i="5"/>
  <c r="J28" i="2"/>
  <c r="D28" i="8"/>
  <c r="G29" i="4"/>
  <c r="B29" i="4"/>
  <c r="B27" i="7"/>
  <c r="U28" i="4"/>
  <c r="B27" i="8"/>
  <c r="T28" i="4"/>
  <c r="B27" i="2"/>
  <c r="C28" i="8" s="1"/>
  <c r="E28" i="6"/>
  <c r="I28" i="2"/>
  <c r="E29" i="6" l="1"/>
  <c r="I29" i="2"/>
  <c r="B28" i="6"/>
  <c r="V29" i="4"/>
  <c r="F29" i="7"/>
  <c r="C29" i="6"/>
  <c r="G29" i="2"/>
  <c r="K29" i="2"/>
  <c r="D29" i="5"/>
  <c r="J30" i="4"/>
  <c r="E30" i="4"/>
  <c r="L29" i="2"/>
  <c r="D29" i="7"/>
  <c r="H30" i="4"/>
  <c r="C30" i="4"/>
  <c r="E29" i="2"/>
  <c r="B28" i="8"/>
  <c r="T29" i="4"/>
  <c r="F29" i="6"/>
  <c r="C29" i="5"/>
  <c r="J29" i="2"/>
  <c r="D29" i="8"/>
  <c r="B29" i="2"/>
  <c r="C30" i="8" s="1"/>
  <c r="G30" i="4"/>
  <c r="B30" i="4"/>
  <c r="F29" i="8"/>
  <c r="C29" i="7"/>
  <c r="D29" i="2"/>
  <c r="D29" i="6"/>
  <c r="I30" i="4"/>
  <c r="D30" i="4"/>
  <c r="H29" i="2"/>
  <c r="B28" i="5"/>
  <c r="W29" i="4"/>
  <c r="B28" i="7"/>
  <c r="U29" i="4"/>
  <c r="E29" i="7"/>
  <c r="F29" i="2"/>
  <c r="A32" i="4"/>
  <c r="S31" i="4"/>
  <c r="B28" i="2"/>
  <c r="C29" i="8" s="1"/>
  <c r="E29" i="8"/>
  <c r="C29" i="2"/>
  <c r="F30" i="7" l="1"/>
  <c r="C30" i="6"/>
  <c r="G30" i="2"/>
  <c r="B29" i="6"/>
  <c r="V30" i="4"/>
  <c r="E30" i="8"/>
  <c r="C30" i="2"/>
  <c r="E30" i="6"/>
  <c r="I30" i="2"/>
  <c r="B29" i="8"/>
  <c r="T30" i="4"/>
  <c r="G31" i="4"/>
  <c r="B31" i="4"/>
  <c r="B30" i="2"/>
  <c r="C31" i="8" s="1"/>
  <c r="D30" i="8"/>
  <c r="F30" i="6"/>
  <c r="C30" i="5"/>
  <c r="J30" i="2"/>
  <c r="E30" i="7"/>
  <c r="F30" i="2"/>
  <c r="C30" i="7"/>
  <c r="F30" i="8"/>
  <c r="D30" i="2"/>
  <c r="B29" i="7"/>
  <c r="U30" i="4"/>
  <c r="B29" i="5"/>
  <c r="W30" i="4"/>
  <c r="D30" i="7"/>
  <c r="H31" i="4"/>
  <c r="C31" i="4"/>
  <c r="E30" i="2"/>
  <c r="A33" i="4"/>
  <c r="S32" i="4"/>
  <c r="I31" i="4"/>
  <c r="D31" i="4"/>
  <c r="H30" i="2"/>
  <c r="D30" i="6"/>
  <c r="D30" i="5"/>
  <c r="J31" i="4"/>
  <c r="E31" i="4"/>
  <c r="K30" i="2"/>
  <c r="L30" i="2"/>
  <c r="A34" i="4" l="1"/>
  <c r="S33" i="4"/>
  <c r="B30" i="7"/>
  <c r="U31" i="4"/>
  <c r="F31" i="8"/>
  <c r="C31" i="7"/>
  <c r="D31" i="2"/>
  <c r="H31" i="2"/>
  <c r="D31" i="6"/>
  <c r="I32" i="4"/>
  <c r="D32" i="4"/>
  <c r="E31" i="2"/>
  <c r="D31" i="7"/>
  <c r="H32" i="4"/>
  <c r="C32" i="4"/>
  <c r="F31" i="6"/>
  <c r="J31" i="2"/>
  <c r="C31" i="5"/>
  <c r="B31" i="2"/>
  <c r="C32" i="8" s="1"/>
  <c r="D31" i="8"/>
  <c r="B32" i="4"/>
  <c r="G32" i="4"/>
  <c r="C31" i="2"/>
  <c r="E31" i="8"/>
  <c r="B30" i="5"/>
  <c r="W31" i="4"/>
  <c r="B30" i="8"/>
  <c r="T31" i="4"/>
  <c r="K31" i="2"/>
  <c r="D31" i="5"/>
  <c r="J32" i="4"/>
  <c r="E32" i="4"/>
  <c r="L31" i="2"/>
  <c r="E31" i="6"/>
  <c r="I31" i="2"/>
  <c r="F31" i="7"/>
  <c r="G31" i="2"/>
  <c r="C31" i="6"/>
  <c r="B30" i="6"/>
  <c r="V31" i="4"/>
  <c r="E31" i="7"/>
  <c r="F31" i="2"/>
  <c r="B31" i="5" l="1"/>
  <c r="W32" i="4"/>
  <c r="H33" i="4"/>
  <c r="C33" i="4"/>
  <c r="E32" i="2"/>
  <c r="D32" i="7"/>
  <c r="F32" i="6"/>
  <c r="C32" i="5"/>
  <c r="J32" i="2"/>
  <c r="G33" i="4"/>
  <c r="D32" i="8"/>
  <c r="B33" i="4"/>
  <c r="B31" i="7"/>
  <c r="U32" i="4"/>
  <c r="B31" i="8"/>
  <c r="T32" i="4"/>
  <c r="F32" i="8"/>
  <c r="C32" i="7"/>
  <c r="D32" i="2"/>
  <c r="I33" i="4"/>
  <c r="H32" i="2"/>
  <c r="D33" i="4"/>
  <c r="D32" i="6"/>
  <c r="B31" i="6"/>
  <c r="V32" i="4"/>
  <c r="F32" i="7"/>
  <c r="C32" i="6"/>
  <c r="G32" i="2"/>
  <c r="E32" i="6"/>
  <c r="I32" i="2"/>
  <c r="E32" i="8"/>
  <c r="C32" i="2"/>
  <c r="E32" i="7"/>
  <c r="F32" i="2"/>
  <c r="J33" i="4"/>
  <c r="K32" i="2"/>
  <c r="L32" i="2"/>
  <c r="E33" i="4"/>
  <c r="D32" i="5"/>
  <c r="A35" i="4"/>
  <c r="S34" i="4"/>
  <c r="I34" i="4" l="1"/>
  <c r="D34" i="4"/>
  <c r="D33" i="6"/>
  <c r="H33" i="2"/>
  <c r="E33" i="8"/>
  <c r="C33" i="2"/>
  <c r="G33" i="2"/>
  <c r="F33" i="7"/>
  <c r="C33" i="6"/>
  <c r="B32" i="8"/>
  <c r="T33" i="4"/>
  <c r="B32" i="6"/>
  <c r="V33" i="4"/>
  <c r="S35" i="4"/>
  <c r="A36" i="4"/>
  <c r="E33" i="7"/>
  <c r="F33" i="2"/>
  <c r="H34" i="4"/>
  <c r="C34" i="4"/>
  <c r="D33" i="7"/>
  <c r="E33" i="2"/>
  <c r="B32" i="2"/>
  <c r="C33" i="8" s="1"/>
  <c r="B32" i="5"/>
  <c r="W33" i="4"/>
  <c r="J34" i="4"/>
  <c r="E34" i="4"/>
  <c r="D33" i="5"/>
  <c r="K33" i="2"/>
  <c r="L33" i="2"/>
  <c r="F33" i="6"/>
  <c r="C33" i="5"/>
  <c r="J33" i="2"/>
  <c r="B32" i="7"/>
  <c r="U33" i="4"/>
  <c r="E33" i="6"/>
  <c r="I33" i="2"/>
  <c r="F33" i="8"/>
  <c r="C33" i="7"/>
  <c r="D33" i="2"/>
  <c r="B34" i="4"/>
  <c r="D33" i="8"/>
  <c r="G34" i="4"/>
  <c r="B33" i="2"/>
  <c r="C34" i="8" s="1"/>
  <c r="E34" i="6" l="1"/>
  <c r="I34" i="2"/>
  <c r="F34" i="6"/>
  <c r="C34" i="5"/>
  <c r="J34" i="2"/>
  <c r="B33" i="7"/>
  <c r="U34" i="4"/>
  <c r="L34" i="2"/>
  <c r="K34" i="2"/>
  <c r="D34" i="5"/>
  <c r="E35" i="4"/>
  <c r="J35" i="4"/>
  <c r="C34" i="7"/>
  <c r="F34" i="8"/>
  <c r="D34" i="2"/>
  <c r="S36" i="4"/>
  <c r="A37" i="4"/>
  <c r="E34" i="7"/>
  <c r="F34" i="2"/>
  <c r="B33" i="5"/>
  <c r="W34" i="4"/>
  <c r="F34" i="7"/>
  <c r="C34" i="6"/>
  <c r="G34" i="2"/>
  <c r="E34" i="2"/>
  <c r="C35" i="4"/>
  <c r="H35" i="4"/>
  <c r="D34" i="7"/>
  <c r="B33" i="8"/>
  <c r="T34" i="4"/>
  <c r="E34" i="8"/>
  <c r="C34" i="2"/>
  <c r="B35" i="4"/>
  <c r="D34" i="8"/>
  <c r="G35" i="4"/>
  <c r="H34" i="2"/>
  <c r="D35" i="4"/>
  <c r="D34" i="6"/>
  <c r="I35" i="4"/>
  <c r="B33" i="6"/>
  <c r="V34" i="4"/>
  <c r="F35" i="8" l="1"/>
  <c r="C35" i="7"/>
  <c r="D35" i="2"/>
  <c r="B36" i="4"/>
  <c r="D35" i="8"/>
  <c r="G36" i="4"/>
  <c r="B34" i="7"/>
  <c r="U35" i="4"/>
  <c r="E35" i="7"/>
  <c r="F35" i="2"/>
  <c r="C36" i="4"/>
  <c r="H36" i="4"/>
  <c r="D35" i="7"/>
  <c r="E35" i="2"/>
  <c r="B34" i="5"/>
  <c r="W35" i="4"/>
  <c r="A38" i="4"/>
  <c r="S37" i="4"/>
  <c r="F35" i="6"/>
  <c r="C35" i="5"/>
  <c r="J35" i="2"/>
  <c r="B34" i="6"/>
  <c r="V35" i="4"/>
  <c r="C35" i="6"/>
  <c r="F35" i="7"/>
  <c r="G35" i="2"/>
  <c r="B34" i="8"/>
  <c r="T35" i="4"/>
  <c r="D36" i="4"/>
  <c r="D35" i="6"/>
  <c r="H35" i="2"/>
  <c r="I36" i="4"/>
  <c r="E35" i="8"/>
  <c r="C35" i="2"/>
  <c r="K35" i="2"/>
  <c r="L35" i="2"/>
  <c r="D35" i="5"/>
  <c r="J36" i="4"/>
  <c r="E36" i="4"/>
  <c r="I35" i="2"/>
  <c r="E35" i="6"/>
  <c r="B34" i="2"/>
  <c r="C35" i="8" s="1"/>
  <c r="F36" i="7" l="1"/>
  <c r="C36" i="6"/>
  <c r="G36" i="2"/>
  <c r="B35" i="6"/>
  <c r="V36" i="4"/>
  <c r="H37" i="4"/>
  <c r="D36" i="7"/>
  <c r="C37" i="4"/>
  <c r="E36" i="2"/>
  <c r="E36" i="7"/>
  <c r="F36" i="2"/>
  <c r="E36" i="6"/>
  <c r="I36" i="2"/>
  <c r="F36" i="8"/>
  <c r="C36" i="7"/>
  <c r="D36" i="2"/>
  <c r="B35" i="7"/>
  <c r="U36" i="4"/>
  <c r="J37" i="4"/>
  <c r="D36" i="5"/>
  <c r="K36" i="2"/>
  <c r="E37" i="4"/>
  <c r="L36" i="2"/>
  <c r="A39" i="4"/>
  <c r="S38" i="4"/>
  <c r="I37" i="4"/>
  <c r="D37" i="4"/>
  <c r="D36" i="6"/>
  <c r="H36" i="2"/>
  <c r="B35" i="5"/>
  <c r="W36" i="4"/>
  <c r="F36" i="6"/>
  <c r="J36" i="2"/>
  <c r="C36" i="5"/>
  <c r="B35" i="2"/>
  <c r="C36" i="8" s="1"/>
  <c r="B35" i="8"/>
  <c r="T36" i="4"/>
  <c r="G37" i="4"/>
  <c r="D36" i="8"/>
  <c r="B37" i="4"/>
  <c r="E36" i="8"/>
  <c r="C36" i="2"/>
  <c r="B36" i="6" l="1"/>
  <c r="V37" i="4"/>
  <c r="F37" i="7"/>
  <c r="C37" i="6"/>
  <c r="G37" i="2"/>
  <c r="A40" i="4"/>
  <c r="S39" i="4"/>
  <c r="I38" i="4"/>
  <c r="D38" i="4"/>
  <c r="D37" i="6"/>
  <c r="H37" i="2"/>
  <c r="B36" i="7"/>
  <c r="U37" i="4"/>
  <c r="F37" i="6"/>
  <c r="C37" i="5"/>
  <c r="J37" i="2"/>
  <c r="H38" i="4"/>
  <c r="D37" i="7"/>
  <c r="C38" i="4"/>
  <c r="E37" i="2"/>
  <c r="E37" i="8"/>
  <c r="C37" i="2"/>
  <c r="B36" i="2"/>
  <c r="C37" i="8" s="1"/>
  <c r="G38" i="4"/>
  <c r="D37" i="8"/>
  <c r="B38" i="4"/>
  <c r="B37" i="2"/>
  <c r="C38" i="8" s="1"/>
  <c r="F37" i="8"/>
  <c r="C37" i="7"/>
  <c r="D37" i="2"/>
  <c r="E38" i="4"/>
  <c r="L37" i="2"/>
  <c r="D37" i="5"/>
  <c r="J38" i="4"/>
  <c r="K37" i="2"/>
  <c r="B36" i="5"/>
  <c r="W37" i="4"/>
  <c r="B36" i="8"/>
  <c r="T37" i="4"/>
  <c r="E37" i="7"/>
  <c r="F37" i="2"/>
  <c r="E37" i="6"/>
  <c r="I37" i="2"/>
  <c r="E38" i="8" l="1"/>
  <c r="C38" i="2"/>
  <c r="B38" i="2"/>
  <c r="C39" i="8" s="1"/>
  <c r="G39" i="4"/>
  <c r="B39" i="4"/>
  <c r="D38" i="8"/>
  <c r="B37" i="5"/>
  <c r="W38" i="4"/>
  <c r="H38" i="2"/>
  <c r="I39" i="4"/>
  <c r="D39" i="4"/>
  <c r="D38" i="6"/>
  <c r="K38" i="2"/>
  <c r="L38" i="2"/>
  <c r="D38" i="5"/>
  <c r="J39" i="4"/>
  <c r="E39" i="4"/>
  <c r="B37" i="8"/>
  <c r="T38" i="4"/>
  <c r="F38" i="8"/>
  <c r="C38" i="7"/>
  <c r="D38" i="2"/>
  <c r="F38" i="7"/>
  <c r="C38" i="6"/>
  <c r="G38" i="2"/>
  <c r="B37" i="6"/>
  <c r="V38" i="4"/>
  <c r="F38" i="6"/>
  <c r="C38" i="5"/>
  <c r="J38" i="2"/>
  <c r="B37" i="7"/>
  <c r="U38" i="4"/>
  <c r="E38" i="6"/>
  <c r="I38" i="2"/>
  <c r="E38" i="2"/>
  <c r="H39" i="4"/>
  <c r="C39" i="4"/>
  <c r="D38" i="7"/>
  <c r="A41" i="4"/>
  <c r="S40" i="4"/>
  <c r="E38" i="7"/>
  <c r="F38" i="2"/>
  <c r="K39" i="2" l="1"/>
  <c r="J40" i="4"/>
  <c r="E40" i="4"/>
  <c r="D39" i="5"/>
  <c r="L39" i="2"/>
  <c r="E39" i="7"/>
  <c r="F39" i="2"/>
  <c r="E39" i="8"/>
  <c r="C39" i="2"/>
  <c r="B38" i="5"/>
  <c r="W39" i="4"/>
  <c r="C39" i="5"/>
  <c r="F39" i="6"/>
  <c r="J39" i="2"/>
  <c r="D39" i="7"/>
  <c r="C40" i="4"/>
  <c r="E39" i="2"/>
  <c r="H40" i="4"/>
  <c r="C39" i="6"/>
  <c r="F39" i="7"/>
  <c r="G39" i="2"/>
  <c r="C39" i="7"/>
  <c r="F39" i="8"/>
  <c r="D39" i="2"/>
  <c r="E39" i="6"/>
  <c r="I39" i="2"/>
  <c r="A42" i="4"/>
  <c r="S41" i="4"/>
  <c r="B38" i="8"/>
  <c r="T39" i="4"/>
  <c r="B39" i="2"/>
  <c r="C40" i="8" s="1"/>
  <c r="D39" i="8"/>
  <c r="G40" i="4"/>
  <c r="B40" i="4"/>
  <c r="B38" i="6"/>
  <c r="V39" i="4"/>
  <c r="B38" i="7"/>
  <c r="U39" i="4"/>
  <c r="H39" i="2"/>
  <c r="I40" i="4"/>
  <c r="D40" i="4"/>
  <c r="D39" i="6"/>
  <c r="A43" i="4" l="1"/>
  <c r="S42" i="4"/>
  <c r="D41" i="4"/>
  <c r="D40" i="6"/>
  <c r="H40" i="2"/>
  <c r="I41" i="4"/>
  <c r="F40" i="8"/>
  <c r="C40" i="7"/>
  <c r="D40" i="2"/>
  <c r="B39" i="6"/>
  <c r="V40" i="4"/>
  <c r="B39" i="7"/>
  <c r="U40" i="4"/>
  <c r="D40" i="7"/>
  <c r="H41" i="4"/>
  <c r="C41" i="4"/>
  <c r="E40" i="2"/>
  <c r="G41" i="4"/>
  <c r="B41" i="4"/>
  <c r="D40" i="8"/>
  <c r="B39" i="5"/>
  <c r="W40" i="4"/>
  <c r="E40" i="8"/>
  <c r="C40" i="2"/>
  <c r="E40" i="6"/>
  <c r="I40" i="2"/>
  <c r="B40" i="2" s="1"/>
  <c r="C41" i="8" s="1"/>
  <c r="F40" i="7"/>
  <c r="C40" i="6"/>
  <c r="G40" i="2"/>
  <c r="K40" i="2"/>
  <c r="J41" i="4"/>
  <c r="D40" i="5"/>
  <c r="E41" i="4"/>
  <c r="L40" i="2"/>
  <c r="B39" i="8"/>
  <c r="T40" i="4"/>
  <c r="E40" i="7"/>
  <c r="F40" i="2"/>
  <c r="C40" i="5"/>
  <c r="F40" i="6"/>
  <c r="J40" i="2"/>
  <c r="E41" i="7" l="1"/>
  <c r="F41" i="2"/>
  <c r="B40" i="8"/>
  <c r="T41" i="4"/>
  <c r="F41" i="6"/>
  <c r="C41" i="5"/>
  <c r="J41" i="2"/>
  <c r="F41" i="8"/>
  <c r="C41" i="7"/>
  <c r="D41" i="2"/>
  <c r="G42" i="4"/>
  <c r="B42" i="4"/>
  <c r="D41" i="8"/>
  <c r="B40" i="7"/>
  <c r="U41" i="4"/>
  <c r="E42" i="4"/>
  <c r="L41" i="2"/>
  <c r="D41" i="5"/>
  <c r="J42" i="4"/>
  <c r="K41" i="2"/>
  <c r="D42" i="4"/>
  <c r="D41" i="6"/>
  <c r="I42" i="4"/>
  <c r="H41" i="2"/>
  <c r="E41" i="6"/>
  <c r="I41" i="2"/>
  <c r="B41" i="2" s="1"/>
  <c r="C42" i="8" s="1"/>
  <c r="E41" i="8"/>
  <c r="C41" i="2"/>
  <c r="C42" i="4"/>
  <c r="H42" i="4"/>
  <c r="D41" i="7"/>
  <c r="E41" i="2"/>
  <c r="F41" i="7"/>
  <c r="C41" i="6"/>
  <c r="G41" i="2"/>
  <c r="B40" i="5"/>
  <c r="W41" i="4"/>
  <c r="B40" i="6"/>
  <c r="V41" i="4"/>
  <c r="A44" i="4"/>
  <c r="S43" i="4"/>
  <c r="B41" i="6" l="1"/>
  <c r="V42" i="4"/>
  <c r="F42" i="7"/>
  <c r="C42" i="6"/>
  <c r="G42" i="2"/>
  <c r="E42" i="8"/>
  <c r="C42" i="2"/>
  <c r="B41" i="7"/>
  <c r="U42" i="4"/>
  <c r="H42" i="2"/>
  <c r="D42" i="6"/>
  <c r="I43" i="4"/>
  <c r="D43" i="4"/>
  <c r="F42" i="6"/>
  <c r="C42" i="5"/>
  <c r="J42" i="2"/>
  <c r="L42" i="2"/>
  <c r="K42" i="2"/>
  <c r="E43" i="4"/>
  <c r="D42" i="5"/>
  <c r="J43" i="4"/>
  <c r="B41" i="8"/>
  <c r="T42" i="4"/>
  <c r="A45" i="4"/>
  <c r="S44" i="4"/>
  <c r="E42" i="2"/>
  <c r="D42" i="7"/>
  <c r="C43" i="4"/>
  <c r="H43" i="4"/>
  <c r="B42" i="2"/>
  <c r="C43" i="8" s="1"/>
  <c r="D42" i="8"/>
  <c r="B43" i="4"/>
  <c r="G43" i="4"/>
  <c r="B41" i="5"/>
  <c r="W42" i="4"/>
  <c r="I42" i="2"/>
  <c r="E42" i="6"/>
  <c r="E42" i="7"/>
  <c r="F42" i="2"/>
  <c r="F42" i="8"/>
  <c r="C42" i="7"/>
  <c r="D42" i="2"/>
  <c r="F43" i="8" l="1"/>
  <c r="C43" i="7"/>
  <c r="D43" i="2"/>
  <c r="S45" i="4"/>
  <c r="A46" i="4"/>
  <c r="B42" i="7"/>
  <c r="U43" i="4"/>
  <c r="B42" i="5"/>
  <c r="W43" i="4"/>
  <c r="B42" i="8"/>
  <c r="T43" i="4"/>
  <c r="K43" i="2"/>
  <c r="D43" i="5"/>
  <c r="J44" i="4"/>
  <c r="E44" i="4"/>
  <c r="L43" i="2"/>
  <c r="B42" i="6"/>
  <c r="V43" i="4"/>
  <c r="D43" i="8"/>
  <c r="G44" i="4"/>
  <c r="B44" i="4"/>
  <c r="E43" i="6"/>
  <c r="I43" i="2"/>
  <c r="B43" i="2" s="1"/>
  <c r="C44" i="8" s="1"/>
  <c r="E43" i="8"/>
  <c r="C43" i="2"/>
  <c r="D43" i="7"/>
  <c r="H44" i="4"/>
  <c r="E43" i="2"/>
  <c r="C44" i="4"/>
  <c r="E43" i="7"/>
  <c r="F43" i="2"/>
  <c r="F43" i="6"/>
  <c r="C43" i="5"/>
  <c r="J43" i="2"/>
  <c r="F43" i="7"/>
  <c r="C43" i="6"/>
  <c r="G43" i="2"/>
  <c r="D43" i="6"/>
  <c r="H43" i="2"/>
  <c r="I44" i="4"/>
  <c r="D44" i="4"/>
  <c r="B43" i="7" l="1"/>
  <c r="U44" i="4"/>
  <c r="B43" i="8"/>
  <c r="T44" i="4"/>
  <c r="D44" i="8"/>
  <c r="G45" i="4"/>
  <c r="B45" i="4"/>
  <c r="B43" i="5"/>
  <c r="W44" i="4"/>
  <c r="F44" i="8"/>
  <c r="C44" i="7"/>
  <c r="D44" i="2"/>
  <c r="J45" i="4"/>
  <c r="L44" i="2"/>
  <c r="E45" i="4"/>
  <c r="D44" i="5"/>
  <c r="K44" i="2"/>
  <c r="E44" i="8"/>
  <c r="C44" i="2"/>
  <c r="D44" i="6"/>
  <c r="I45" i="4"/>
  <c r="D45" i="4"/>
  <c r="H44" i="2"/>
  <c r="C44" i="5"/>
  <c r="F44" i="6"/>
  <c r="J44" i="2"/>
  <c r="F44" i="7"/>
  <c r="C44" i="6"/>
  <c r="G44" i="2"/>
  <c r="E44" i="7"/>
  <c r="F44" i="2"/>
  <c r="A47" i="4"/>
  <c r="S46" i="4"/>
  <c r="E44" i="2"/>
  <c r="D44" i="7"/>
  <c r="H45" i="4"/>
  <c r="C45" i="4"/>
  <c r="B43" i="6"/>
  <c r="V44" i="4"/>
  <c r="E44" i="6"/>
  <c r="I44" i="2"/>
  <c r="C46" i="4" l="1"/>
  <c r="D45" i="7"/>
  <c r="H46" i="4"/>
  <c r="E45" i="2"/>
  <c r="F45" i="7"/>
  <c r="C45" i="6"/>
  <c r="G45" i="2"/>
  <c r="B44" i="6"/>
  <c r="V45" i="4"/>
  <c r="E45" i="7"/>
  <c r="F45" i="2"/>
  <c r="E45" i="8"/>
  <c r="C45" i="2"/>
  <c r="F45" i="6"/>
  <c r="C45" i="5"/>
  <c r="J45" i="2"/>
  <c r="D46" i="4"/>
  <c r="D45" i="6"/>
  <c r="I46" i="4"/>
  <c r="H45" i="2"/>
  <c r="E45" i="6"/>
  <c r="I45" i="2"/>
  <c r="B46" i="4"/>
  <c r="D45" i="8"/>
  <c r="G46" i="4"/>
  <c r="B45" i="2"/>
  <c r="C46" i="8" s="1"/>
  <c r="B44" i="5"/>
  <c r="W45" i="4"/>
  <c r="B44" i="7"/>
  <c r="U45" i="4"/>
  <c r="E46" i="4"/>
  <c r="L45" i="2"/>
  <c r="D45" i="5"/>
  <c r="J46" i="4"/>
  <c r="K45" i="2"/>
  <c r="B44" i="8"/>
  <c r="T45" i="4"/>
  <c r="B44" i="2"/>
  <c r="C45" i="8" s="1"/>
  <c r="F45" i="8"/>
  <c r="C45" i="7"/>
  <c r="D45" i="2"/>
  <c r="A48" i="4"/>
  <c r="S47" i="4"/>
  <c r="B45" i="5" l="1"/>
  <c r="W46" i="4"/>
  <c r="H46" i="2"/>
  <c r="D46" i="6"/>
  <c r="I47" i="4"/>
  <c r="D47" i="4"/>
  <c r="F46" i="7"/>
  <c r="C46" i="6"/>
  <c r="G46" i="2"/>
  <c r="G47" i="4"/>
  <c r="B47" i="4"/>
  <c r="D46" i="8"/>
  <c r="E46" i="8"/>
  <c r="C46" i="2"/>
  <c r="B45" i="6"/>
  <c r="V46" i="4"/>
  <c r="E46" i="2"/>
  <c r="H47" i="4"/>
  <c r="D46" i="7"/>
  <c r="C47" i="4"/>
  <c r="E46" i="7"/>
  <c r="F46" i="2"/>
  <c r="K46" i="2"/>
  <c r="D46" i="5"/>
  <c r="E47" i="4"/>
  <c r="L46" i="2"/>
  <c r="J47" i="4"/>
  <c r="B45" i="8"/>
  <c r="T46" i="4"/>
  <c r="E46" i="6"/>
  <c r="I46" i="2"/>
  <c r="A49" i="4"/>
  <c r="S48" i="4"/>
  <c r="F46" i="8"/>
  <c r="C46" i="7"/>
  <c r="D46" i="2"/>
  <c r="F46" i="6"/>
  <c r="C46" i="5"/>
  <c r="J46" i="2"/>
  <c r="B45" i="7"/>
  <c r="U46" i="4"/>
  <c r="D48" i="4" l="1"/>
  <c r="D47" i="6"/>
  <c r="I48" i="4"/>
  <c r="H47" i="2"/>
  <c r="C48" i="4"/>
  <c r="D47" i="7"/>
  <c r="H48" i="4"/>
  <c r="E47" i="2"/>
  <c r="D47" i="5"/>
  <c r="K47" i="2"/>
  <c r="E48" i="4"/>
  <c r="J48" i="4"/>
  <c r="L47" i="2"/>
  <c r="B46" i="5"/>
  <c r="W47" i="4"/>
  <c r="F47" i="8"/>
  <c r="C47" i="7"/>
  <c r="D47" i="2"/>
  <c r="B46" i="7"/>
  <c r="U47" i="4"/>
  <c r="B46" i="2"/>
  <c r="C47" i="8" s="1"/>
  <c r="D47" i="8"/>
  <c r="G48" i="4"/>
  <c r="B48" i="4"/>
  <c r="B46" i="8"/>
  <c r="T47" i="4"/>
  <c r="E47" i="7"/>
  <c r="F47" i="2"/>
  <c r="E47" i="6"/>
  <c r="I47" i="2"/>
  <c r="B47" i="2" s="1"/>
  <c r="C48" i="8" s="1"/>
  <c r="C47" i="2"/>
  <c r="E47" i="8"/>
  <c r="F47" i="6"/>
  <c r="C47" i="5"/>
  <c r="J47" i="2"/>
  <c r="B46" i="6"/>
  <c r="V47" i="4"/>
  <c r="F47" i="7"/>
  <c r="C47" i="6"/>
  <c r="G47" i="2"/>
  <c r="A50" i="4"/>
  <c r="S49" i="4"/>
  <c r="B49" i="4" l="1"/>
  <c r="D48" i="8"/>
  <c r="G49" i="4"/>
  <c r="B48" i="2"/>
  <c r="C49" i="8" s="1"/>
  <c r="D48" i="7"/>
  <c r="H49" i="4"/>
  <c r="C49" i="4"/>
  <c r="E48" i="2"/>
  <c r="D48" i="6"/>
  <c r="I49" i="4"/>
  <c r="D49" i="4"/>
  <c r="H48" i="2"/>
  <c r="B47" i="8"/>
  <c r="T48" i="4"/>
  <c r="F48" i="6"/>
  <c r="C48" i="5"/>
  <c r="J48" i="2"/>
  <c r="C48" i="7"/>
  <c r="F48" i="8"/>
  <c r="D48" i="2"/>
  <c r="B47" i="5"/>
  <c r="W48" i="4"/>
  <c r="D48" i="5"/>
  <c r="E49" i="4"/>
  <c r="L48" i="2"/>
  <c r="J49" i="4"/>
  <c r="K48" i="2"/>
  <c r="E48" i="7"/>
  <c r="F48" i="2"/>
  <c r="B47" i="7"/>
  <c r="U48" i="4"/>
  <c r="E48" i="6"/>
  <c r="I48" i="2"/>
  <c r="E48" i="8"/>
  <c r="C48" i="2"/>
  <c r="A51" i="4"/>
  <c r="S50" i="4"/>
  <c r="C48" i="6"/>
  <c r="G48" i="2"/>
  <c r="F48" i="7"/>
  <c r="B47" i="6"/>
  <c r="V48" i="4"/>
  <c r="K49" i="2" l="1"/>
  <c r="L49" i="2"/>
  <c r="D49" i="5"/>
  <c r="J50" i="4"/>
  <c r="E50" i="4"/>
  <c r="F49" i="6"/>
  <c r="C49" i="5"/>
  <c r="J49" i="2"/>
  <c r="E49" i="6"/>
  <c r="I49" i="2"/>
  <c r="E49" i="2"/>
  <c r="C50" i="4"/>
  <c r="D49" i="7"/>
  <c r="H50" i="4"/>
  <c r="E49" i="8"/>
  <c r="C49" i="2"/>
  <c r="G49" i="2"/>
  <c r="F49" i="7"/>
  <c r="C49" i="6"/>
  <c r="F49" i="8"/>
  <c r="C49" i="7"/>
  <c r="D49" i="2"/>
  <c r="E49" i="7"/>
  <c r="F49" i="2"/>
  <c r="A52" i="4"/>
  <c r="S51" i="4"/>
  <c r="B48" i="5"/>
  <c r="W49" i="4"/>
  <c r="B48" i="6"/>
  <c r="V49" i="4"/>
  <c r="B48" i="7"/>
  <c r="U49" i="4"/>
  <c r="D49" i="8"/>
  <c r="G50" i="4"/>
  <c r="B50" i="4"/>
  <c r="H49" i="2"/>
  <c r="D49" i="6"/>
  <c r="I50" i="4"/>
  <c r="D50" i="4"/>
  <c r="B48" i="8"/>
  <c r="T49" i="4"/>
  <c r="H50" i="2" l="1"/>
  <c r="D51" i="4"/>
  <c r="D50" i="6"/>
  <c r="I51" i="4"/>
  <c r="G51" i="4"/>
  <c r="D50" i="8"/>
  <c r="B51" i="4"/>
  <c r="F50" i="8"/>
  <c r="C50" i="7"/>
  <c r="D50" i="2"/>
  <c r="E50" i="6"/>
  <c r="I50" i="2"/>
  <c r="E50" i="2"/>
  <c r="C51" i="4"/>
  <c r="D50" i="7"/>
  <c r="H51" i="4"/>
  <c r="B49" i="6"/>
  <c r="V50" i="4"/>
  <c r="F50" i="7"/>
  <c r="C50" i="6"/>
  <c r="G50" i="2"/>
  <c r="K50" i="2"/>
  <c r="J51" i="4"/>
  <c r="E51" i="4"/>
  <c r="L50" i="2"/>
  <c r="D50" i="5"/>
  <c r="A53" i="4"/>
  <c r="S53" i="4" s="1"/>
  <c r="S52" i="4"/>
  <c r="E50" i="8"/>
  <c r="C50" i="2"/>
  <c r="E50" i="7"/>
  <c r="F50" i="2"/>
  <c r="B49" i="7"/>
  <c r="U50" i="4"/>
  <c r="B49" i="5"/>
  <c r="W50" i="4"/>
  <c r="B49" i="8"/>
  <c r="T50" i="4"/>
  <c r="B49" i="2"/>
  <c r="C50" i="8" s="1"/>
  <c r="F50" i="6"/>
  <c r="C50" i="5"/>
  <c r="J50" i="2"/>
  <c r="D51" i="6" l="1"/>
  <c r="I52" i="4"/>
  <c r="D52" i="4"/>
  <c r="H51" i="2"/>
  <c r="B50" i="7"/>
  <c r="U51" i="4"/>
  <c r="B50" i="5"/>
  <c r="W51" i="4"/>
  <c r="F51" i="6"/>
  <c r="C51" i="5"/>
  <c r="J51" i="2"/>
  <c r="E52" i="6" s="1"/>
  <c r="F51" i="8"/>
  <c r="C51" i="7"/>
  <c r="D51" i="2"/>
  <c r="E52" i="8" s="1"/>
  <c r="B50" i="8"/>
  <c r="T51" i="4"/>
  <c r="K51" i="2"/>
  <c r="D51" i="5"/>
  <c r="E52" i="4"/>
  <c r="J52" i="4"/>
  <c r="L51" i="2"/>
  <c r="E51" i="7"/>
  <c r="F51" i="2"/>
  <c r="E51" i="6"/>
  <c r="I51" i="2"/>
  <c r="B50" i="6"/>
  <c r="V51" i="4"/>
  <c r="D51" i="8"/>
  <c r="G52" i="4"/>
  <c r="B52" i="4"/>
  <c r="B51" i="2"/>
  <c r="C52" i="8" s="1"/>
  <c r="C1" i="8" s="1"/>
  <c r="E51" i="8"/>
  <c r="C51" i="2"/>
  <c r="B50" i="2"/>
  <c r="C51" i="8" s="1"/>
  <c r="H52" i="4"/>
  <c r="C52" i="4"/>
  <c r="D51" i="7"/>
  <c r="E51" i="2"/>
  <c r="F51" i="7"/>
  <c r="C51" i="6"/>
  <c r="G51" i="2"/>
  <c r="E52" i="7" s="1"/>
  <c r="D52" i="6" l="1"/>
  <c r="D1" i="6" s="1"/>
  <c r="I53" i="4"/>
  <c r="D53" i="4"/>
  <c r="B51" i="8"/>
  <c r="T52" i="4"/>
  <c r="E53" i="4"/>
  <c r="D52" i="5"/>
  <c r="D1" i="5" s="1"/>
  <c r="J53" i="4"/>
  <c r="D52" i="7"/>
  <c r="D1" i="7" s="1"/>
  <c r="H53" i="4"/>
  <c r="C53" i="4"/>
  <c r="B51" i="7"/>
  <c r="U52" i="4"/>
  <c r="B51" i="6"/>
  <c r="V52" i="4"/>
  <c r="F52" i="6"/>
  <c r="C52" i="5"/>
  <c r="C1" i="5" s="1"/>
  <c r="B51" i="5"/>
  <c r="W52" i="4"/>
  <c r="F52" i="8"/>
  <c r="C52" i="7"/>
  <c r="C1" i="7" s="1"/>
  <c r="F52" i="7"/>
  <c r="C52" i="6"/>
  <c r="C1" i="6" s="1"/>
  <c r="D52" i="8"/>
  <c r="D1" i="8" s="1"/>
  <c r="G53" i="4"/>
  <c r="B53" i="4"/>
  <c r="B52" i="5" l="1"/>
  <c r="B1" i="5" s="1"/>
  <c r="E2" i="4"/>
  <c r="W53" i="4"/>
  <c r="E1" i="4"/>
  <c r="B52" i="6"/>
  <c r="B1" i="6" s="1"/>
  <c r="D2" i="4"/>
  <c r="D1" i="4"/>
  <c r="V53" i="4"/>
  <c r="B52" i="8"/>
  <c r="B1" i="8" s="1"/>
  <c r="B1" i="4"/>
  <c r="B2" i="4"/>
  <c r="T53" i="4"/>
  <c r="B52" i="7"/>
  <c r="B1" i="7" s="1"/>
  <c r="U53" i="4"/>
  <c r="C1" i="4"/>
  <c r="C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10"/>
            <color rgb="FF000000"/>
            <rFont val="Arial"/>
            <scheme val="minor"/>
          </rPr>
          <t>Consumer Demand, you can change this to be whatever you want, but the suggestion is one static number for several weeks, then another static number for several weeks.
I've set it to 5 until week 10 then a random from 8-12 (changes daily)</t>
        </r>
      </text>
    </comment>
    <comment ref="G1" authorId="0" shapeId="0" xr:uid="{00000000-0006-0000-0200-000002000000}">
      <text>
        <r>
          <rPr>
            <sz val="10"/>
            <color rgb="FF000000"/>
            <rFont val="Arial"/>
            <scheme val="minor"/>
          </rPr>
          <t>Used to hide/show data to other teams and on summary page</t>
        </r>
      </text>
    </comment>
  </commentList>
</comments>
</file>

<file path=xl/sharedStrings.xml><?xml version="1.0" encoding="utf-8"?>
<sst xmlns="http://schemas.openxmlformats.org/spreadsheetml/2006/main" count="74" uniqueCount="36">
  <si>
    <t>If you want to edit the spreadsheet: File -&gt; Make a Copy</t>
  </si>
  <si>
    <t>Do not request share access, as I will deny it to keep this template always available.</t>
  </si>
  <si>
    <t>You are welcome to make a copy of the sheet and edit as you please.</t>
  </si>
  <si>
    <t>Week</t>
  </si>
  <si>
    <t>Retail sent</t>
  </si>
  <si>
    <t>Retailer Inv</t>
  </si>
  <si>
    <t>RD2</t>
  </si>
  <si>
    <t>RD1</t>
  </si>
  <si>
    <t>Wholesaler Inv</t>
  </si>
  <si>
    <t>WD2</t>
  </si>
  <si>
    <t>WD1</t>
  </si>
  <si>
    <t>Supplier Inv</t>
  </si>
  <si>
    <t>SD2</t>
  </si>
  <si>
    <t>SD1</t>
  </si>
  <si>
    <t>Factory Inv</t>
  </si>
  <si>
    <t>FD2</t>
  </si>
  <si>
    <t>FD1</t>
  </si>
  <si>
    <t>Based on this game</t>
  </si>
  <si>
    <t>https://beergame.org/the-game/structure-rules/</t>
  </si>
  <si>
    <t>Demand</t>
  </si>
  <si>
    <t>Retailer</t>
  </si>
  <si>
    <t>Wholesaler</t>
  </si>
  <si>
    <t>Supplier</t>
  </si>
  <si>
    <t>Factory</t>
  </si>
  <si>
    <t>All orders in?</t>
  </si>
  <si>
    <t>&lt;= Current Week Cost</t>
  </si>
  <si>
    <t>TOTALS</t>
  </si>
  <si>
    <t>INVENTORY</t>
  </si>
  <si>
    <t>Inventory Arriving in</t>
  </si>
  <si>
    <t>Cost</t>
  </si>
  <si>
    <t>Shipped</t>
  </si>
  <si>
    <t>Inventory/-backlog</t>
  </si>
  <si>
    <t>1 week</t>
  </si>
  <si>
    <t>2 weeks</t>
  </si>
  <si>
    <t>New Orders incoming</t>
  </si>
  <si>
    <t>Place your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</si>
</sst>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7" x14ac:knownFonts="1">
    <font>
      <sz val="10"/>
      <color rgb="FF000000"/>
      <name val="Arial"/>
      <scheme val="minor"/>
    </font>
    <font>
      <sz val="10"/>
      <color theme="1"/>
      <name val="Arial"/>
      <family val="2"/>
      <scheme val="minor"/>
    </font>
    <font>
      <b/>
      <sz val="10"/>
      <color theme="1"/>
      <name val="Arial"/>
      <family val="2"/>
      <scheme val="minor"/>
    </font>
    <font>
      <u/>
      <sz val="10"/>
      <color rgb="FF1155CC"/>
      <name val="Arial"/>
      <family val="2"/>
    </font>
    <font>
      <b/>
      <sz val="10"/>
      <color rgb="FFFF0000"/>
      <name val="Arial"/>
      <family val="2"/>
      <scheme val="minor"/>
    </font>
    <font>
      <sz val="10"/>
      <color theme="1"/>
      <name val="Arial"/>
      <family val="2"/>
    </font>
    <font>
      <b/>
      <sz val="10"/>
      <color theme="1"/>
      <name val="Arial"/>
      <family val="2"/>
    </font>
  </fonts>
  <fills count="6">
    <fill>
      <patternFill patternType="none"/>
    </fill>
    <fill>
      <patternFill patternType="gray125"/>
    </fill>
    <fill>
      <patternFill patternType="solid">
        <fgColor rgb="FFFFF0F0"/>
        <bgColor rgb="FFFFF0F0"/>
      </patternFill>
    </fill>
    <fill>
      <patternFill patternType="solid">
        <fgColor rgb="FFFFFFF0"/>
        <bgColor rgb="FFFFFFF0"/>
      </patternFill>
    </fill>
    <fill>
      <patternFill patternType="solid">
        <fgColor rgb="FFF0FFF0"/>
        <bgColor rgb="FFF0FFF0"/>
      </patternFill>
    </fill>
    <fill>
      <patternFill patternType="solid">
        <fgColor rgb="FFF0F0FF"/>
        <bgColor rgb="FFF0F0FF"/>
      </patternFill>
    </fill>
  </fills>
  <borders count="1">
    <border>
      <left/>
      <right/>
      <top/>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xf numFmtId="3" fontId="1" fillId="0" borderId="0" xfId="0" applyNumberFormat="1" applyFont="1"/>
    <xf numFmtId="0" fontId="4" fillId="0" borderId="0" xfId="0" applyFont="1"/>
    <xf numFmtId="0" fontId="2" fillId="0" borderId="0" xfId="0" applyFont="1" applyAlignment="1">
      <alignment horizontal="left"/>
    </xf>
    <xf numFmtId="0" fontId="1" fillId="0" borderId="0" xfId="0" applyFont="1" applyAlignment="1">
      <alignment horizontal="center"/>
    </xf>
    <xf numFmtId="3" fontId="4" fillId="0" borderId="0" xfId="0" applyNumberFormat="1" applyFont="1"/>
    <xf numFmtId="0" fontId="2" fillId="0" borderId="0" xfId="0" applyFont="1" applyAlignment="1">
      <alignment horizontal="right"/>
    </xf>
    <xf numFmtId="164" fontId="1" fillId="2" borderId="0" xfId="0" applyNumberFormat="1" applyFont="1" applyFill="1"/>
    <xf numFmtId="164" fontId="1" fillId="3" borderId="0" xfId="0" applyNumberFormat="1" applyFont="1" applyFill="1"/>
    <xf numFmtId="164" fontId="1" fillId="4" borderId="0" xfId="0" applyNumberFormat="1" applyFont="1" applyFill="1"/>
    <xf numFmtId="164" fontId="1" fillId="5" borderId="0" xfId="0" applyNumberFormat="1" applyFont="1" applyFill="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164" fontId="2" fillId="2" borderId="0" xfId="0" applyNumberFormat="1" applyFont="1" applyFill="1"/>
    <xf numFmtId="164" fontId="2" fillId="3" borderId="0" xfId="0" applyNumberFormat="1" applyFont="1" applyFill="1"/>
    <xf numFmtId="164" fontId="2" fillId="4" borderId="0" xfId="0" applyNumberFormat="1" applyFont="1" applyFill="1"/>
    <xf numFmtId="164" fontId="2" fillId="5" borderId="0" xfId="0" applyNumberFormat="1" applyFont="1" applyFill="1"/>
    <xf numFmtId="0" fontId="2" fillId="3" borderId="0" xfId="0" applyFont="1" applyFill="1"/>
    <xf numFmtId="0" fontId="2" fillId="2" borderId="0" xfId="0" applyFont="1" applyFill="1"/>
    <xf numFmtId="0" fontId="2" fillId="4" borderId="0" xfId="0" applyFont="1" applyFill="1"/>
    <xf numFmtId="0" fontId="2" fillId="5" borderId="0" xfId="0" applyFont="1" applyFill="1"/>
    <xf numFmtId="164" fontId="2" fillId="0" borderId="0" xfId="0" applyNumberFormat="1" applyFont="1"/>
    <xf numFmtId="164" fontId="5" fillId="3" borderId="0" xfId="0" applyNumberFormat="1" applyFont="1" applyFill="1" applyAlignment="1">
      <alignment horizontal="right"/>
    </xf>
    <xf numFmtId="164" fontId="5" fillId="4" borderId="0" xfId="0" applyNumberFormat="1" applyFont="1" applyFill="1" applyAlignment="1">
      <alignment horizontal="right"/>
    </xf>
    <xf numFmtId="164" fontId="5" fillId="5" borderId="0" xfId="0" applyNumberFormat="1" applyFont="1" applyFill="1" applyAlignment="1">
      <alignment horizontal="right"/>
    </xf>
    <xf numFmtId="0" fontId="5" fillId="3" borderId="0" xfId="0" applyFont="1" applyFill="1" applyAlignment="1">
      <alignment horizontal="right"/>
    </xf>
    <xf numFmtId="0" fontId="5" fillId="4" borderId="0" xfId="0" applyFont="1" applyFill="1" applyAlignment="1">
      <alignment horizontal="right"/>
    </xf>
    <xf numFmtId="0" fontId="5" fillId="5" borderId="0" xfId="0" applyFont="1" applyFill="1" applyAlignment="1">
      <alignment horizontal="right"/>
    </xf>
    <xf numFmtId="164" fontId="1" fillId="0" borderId="0" xfId="0" applyNumberFormat="1" applyFont="1"/>
    <xf numFmtId="165" fontId="2" fillId="0" borderId="0" xfId="0" applyNumberFormat="1" applyFont="1"/>
    <xf numFmtId="0" fontId="5" fillId="0" borderId="0" xfId="0" applyFont="1"/>
    <xf numFmtId="0" fontId="6" fillId="0" borderId="0" xfId="0" applyFont="1"/>
    <xf numFmtId="0" fontId="5" fillId="0" borderId="0" xfId="0" applyFont="1" applyAlignment="1">
      <alignment horizontal="right"/>
    </xf>
  </cellXfs>
  <cellStyles count="1">
    <cellStyle name="Normal" xfId="0" builtinId="0"/>
  </cellStyles>
  <dxfs count="17">
    <dxf>
      <fill>
        <patternFill patternType="solid">
          <fgColor rgb="FFB7E1CD"/>
          <bgColor rgb="FFB7E1CD"/>
        </patternFill>
      </fill>
    </dxf>
    <dxf>
      <font>
        <color rgb="FFB7B7B7"/>
      </font>
      <fill>
        <patternFill patternType="none"/>
      </fill>
    </dxf>
    <dxf>
      <font>
        <b/>
        <color rgb="FFC53929"/>
      </font>
      <fill>
        <patternFill patternType="none"/>
      </fill>
    </dxf>
    <dxf>
      <font>
        <b/>
        <color rgb="FF0B8043"/>
      </font>
      <fill>
        <patternFill patternType="none"/>
      </fill>
    </dxf>
    <dxf>
      <fill>
        <patternFill patternType="solid">
          <fgColor rgb="FFB7E1CD"/>
          <bgColor rgb="FFB7E1CD"/>
        </patternFill>
      </fill>
    </dxf>
    <dxf>
      <font>
        <color rgb="FFB7B7B7"/>
      </font>
      <fill>
        <patternFill patternType="none"/>
      </fill>
    </dxf>
    <dxf>
      <font>
        <b/>
        <color rgb="FFC53929"/>
      </font>
      <fill>
        <patternFill patternType="none"/>
      </fill>
    </dxf>
    <dxf>
      <font>
        <b/>
        <color rgb="FF0B8043"/>
      </font>
      <fill>
        <patternFill patternType="none"/>
      </fill>
    </dxf>
    <dxf>
      <fill>
        <patternFill patternType="solid">
          <fgColor rgb="FFB7E1CD"/>
          <bgColor rgb="FFB7E1CD"/>
        </patternFill>
      </fill>
    </dxf>
    <dxf>
      <font>
        <color rgb="FFB7B7B7"/>
      </font>
      <fill>
        <patternFill patternType="none"/>
      </fill>
    </dxf>
    <dxf>
      <font>
        <b/>
        <color rgb="FFC53929"/>
      </font>
      <fill>
        <patternFill patternType="none"/>
      </fill>
    </dxf>
    <dxf>
      <font>
        <b/>
        <color rgb="FF0B8043"/>
      </font>
      <fill>
        <patternFill patternType="none"/>
      </fill>
    </dxf>
    <dxf>
      <fill>
        <patternFill patternType="solid">
          <fgColor rgb="FFB7E1CD"/>
          <bgColor rgb="FFB7E1CD"/>
        </patternFill>
      </fill>
    </dxf>
    <dxf>
      <font>
        <color rgb="FFB7B7B7"/>
      </font>
      <fill>
        <patternFill patternType="none"/>
      </fill>
    </dxf>
    <dxf>
      <font>
        <b/>
        <color rgb="FFC53929"/>
      </font>
      <fill>
        <patternFill patternType="none"/>
      </fill>
    </dxf>
    <dxf>
      <font>
        <b/>
        <color rgb="FF0B8043"/>
      </font>
      <fill>
        <patternFill patternType="none"/>
      </fill>
    </dxf>
    <dxf>
      <font>
        <b/>
        <color rgb="FFC5392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lvl="0">
              <a:defRPr b="0">
                <a:solidFill>
                  <a:srgbClr val="757575"/>
                </a:solidFill>
                <a:latin typeface="+mn-lt"/>
              </a:defRPr>
            </a:pPr>
            <a:r>
              <a:rPr lang="nb-NO" b="0">
                <a:solidFill>
                  <a:srgbClr val="757575"/>
                </a:solidFill>
                <a:latin typeface="+mn-lt"/>
              </a:rPr>
              <a:t>Inventory</a:t>
            </a:r>
          </a:p>
        </c:rich>
      </c:tx>
      <c:overlay val="0"/>
    </c:title>
    <c:autoTitleDeleted val="0"/>
    <c:plotArea>
      <c:layout/>
      <c:lineChart>
        <c:grouping val="standard"/>
        <c:varyColors val="1"/>
        <c:ser>
          <c:idx val="0"/>
          <c:order val="0"/>
          <c:tx>
            <c:strRef>
              <c:f>Summary!$G$3</c:f>
              <c:strCache>
                <c:ptCount val="1"/>
                <c:pt idx="0">
                  <c:v>Retailer</c:v>
                </c:pt>
              </c:strCache>
            </c:strRef>
          </c:tx>
          <c:spPr>
            <a:ln cmpd="sng">
              <a:solidFill>
                <a:srgbClr val="FF0000">
                  <a:alpha val="100000"/>
                </a:srgbClr>
              </a:solidFill>
            </a:ln>
          </c:spPr>
          <c:marker>
            <c:symbol val="none"/>
          </c:marker>
          <c:cat>
            <c:numRef>
              <c:f>Summary!$A$4:$A$53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Summary!$G$4:$G$53</c:f>
              <c:numCache>
                <c:formatCode>General</c:formatCode>
                <c:ptCount val="50"/>
                <c:pt idx="0">
                  <c:v>15</c:v>
                </c:pt>
                <c:pt idx="1">
                  <c:v>10</c:v>
                </c:pt>
                <c:pt idx="2">
                  <c:v>10</c:v>
                </c:pt>
                <c:pt idx="3">
                  <c:v>5</c:v>
                </c:pt>
                <c:pt idx="4">
                  <c:v>0</c:v>
                </c:pt>
                <c:pt idx="5">
                  <c:v>-5</c:v>
                </c:pt>
                <c:pt idx="6">
                  <c:v>-10</c:v>
                </c:pt>
                <c:pt idx="7">
                  <c:v>-15</c:v>
                </c:pt>
                <c:pt idx="8">
                  <c:v>-20</c:v>
                </c:pt>
                <c:pt idx="9">
                  <c:v>-25</c:v>
                </c:pt>
                <c:pt idx="10">
                  <c:v>-37</c:v>
                </c:pt>
                <c:pt idx="11">
                  <c:v>-45</c:v>
                </c:pt>
                <c:pt idx="12">
                  <c:v>-57</c:v>
                </c:pt>
                <c:pt idx="13">
                  <c:v>-69</c:v>
                </c:pt>
                <c:pt idx="14">
                  <c:v>-81</c:v>
                </c:pt>
                <c:pt idx="15">
                  <c:v>-93</c:v>
                </c:pt>
                <c:pt idx="16">
                  <c:v>-105</c:v>
                </c:pt>
                <c:pt idx="17">
                  <c:v>-117</c:v>
                </c:pt>
                <c:pt idx="18">
                  <c:v>-129</c:v>
                </c:pt>
                <c:pt idx="19">
                  <c:v>-141</c:v>
                </c:pt>
                <c:pt idx="20">
                  <c:v>-153</c:v>
                </c:pt>
                <c:pt idx="21">
                  <c:v>-165</c:v>
                </c:pt>
                <c:pt idx="22">
                  <c:v>-177</c:v>
                </c:pt>
                <c:pt idx="23">
                  <c:v>-189</c:v>
                </c:pt>
                <c:pt idx="24">
                  <c:v>-201</c:v>
                </c:pt>
                <c:pt idx="25">
                  <c:v>-213</c:v>
                </c:pt>
                <c:pt idx="26">
                  <c:v>-225</c:v>
                </c:pt>
                <c:pt idx="27">
                  <c:v>-237</c:v>
                </c:pt>
                <c:pt idx="28">
                  <c:v>-249</c:v>
                </c:pt>
                <c:pt idx="29">
                  <c:v>-261</c:v>
                </c:pt>
                <c:pt idx="30">
                  <c:v>-273</c:v>
                </c:pt>
                <c:pt idx="31">
                  <c:v>-285</c:v>
                </c:pt>
                <c:pt idx="32">
                  <c:v>-297</c:v>
                </c:pt>
                <c:pt idx="33">
                  <c:v>-309</c:v>
                </c:pt>
                <c:pt idx="34">
                  <c:v>-321</c:v>
                </c:pt>
                <c:pt idx="35">
                  <c:v>-333</c:v>
                </c:pt>
                <c:pt idx="36">
                  <c:v>-345</c:v>
                </c:pt>
                <c:pt idx="37">
                  <c:v>-357</c:v>
                </c:pt>
                <c:pt idx="38">
                  <c:v>-369</c:v>
                </c:pt>
                <c:pt idx="39">
                  <c:v>-381</c:v>
                </c:pt>
                <c:pt idx="40">
                  <c:v>-393</c:v>
                </c:pt>
                <c:pt idx="41">
                  <c:v>-405</c:v>
                </c:pt>
                <c:pt idx="42">
                  <c:v>-417</c:v>
                </c:pt>
                <c:pt idx="43">
                  <c:v>-429</c:v>
                </c:pt>
                <c:pt idx="44">
                  <c:v>-441</c:v>
                </c:pt>
                <c:pt idx="45">
                  <c:v>-453</c:v>
                </c:pt>
                <c:pt idx="46">
                  <c:v>-465</c:v>
                </c:pt>
                <c:pt idx="47">
                  <c:v>-477</c:v>
                </c:pt>
                <c:pt idx="48">
                  <c:v>-489</c:v>
                </c:pt>
                <c:pt idx="49">
                  <c:v>-501</c:v>
                </c:pt>
              </c:numCache>
            </c:numRef>
          </c:val>
          <c:smooth val="0"/>
          <c:extLst>
            <c:ext xmlns:c16="http://schemas.microsoft.com/office/drawing/2014/chart" uri="{C3380CC4-5D6E-409C-BE32-E72D297353CC}">
              <c16:uniqueId val="{00000000-B9A2-4717-B2A5-D9A91D392286}"/>
            </c:ext>
          </c:extLst>
        </c:ser>
        <c:ser>
          <c:idx val="1"/>
          <c:order val="1"/>
          <c:tx>
            <c:strRef>
              <c:f>Summary!$H$3</c:f>
              <c:strCache>
                <c:ptCount val="1"/>
                <c:pt idx="0">
                  <c:v>Wholesaler</c:v>
                </c:pt>
              </c:strCache>
            </c:strRef>
          </c:tx>
          <c:spPr>
            <a:ln cmpd="sng">
              <a:solidFill>
                <a:srgbClr val="FFD966">
                  <a:alpha val="100000"/>
                </a:srgbClr>
              </a:solidFill>
            </a:ln>
          </c:spPr>
          <c:marker>
            <c:symbol val="none"/>
          </c:marker>
          <c:cat>
            <c:numRef>
              <c:f>Summary!$A$4:$A$53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Summary!$H$4:$H$53</c:f>
              <c:numCache>
                <c:formatCode>General</c:formatCode>
                <c:ptCount val="50"/>
                <c:pt idx="0">
                  <c:v>15</c:v>
                </c:pt>
                <c:pt idx="1">
                  <c:v>15</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numCache>
            </c:numRef>
          </c:val>
          <c:smooth val="0"/>
          <c:extLst>
            <c:ext xmlns:c16="http://schemas.microsoft.com/office/drawing/2014/chart" uri="{C3380CC4-5D6E-409C-BE32-E72D297353CC}">
              <c16:uniqueId val="{00000001-B9A2-4717-B2A5-D9A91D392286}"/>
            </c:ext>
          </c:extLst>
        </c:ser>
        <c:ser>
          <c:idx val="2"/>
          <c:order val="2"/>
          <c:tx>
            <c:strRef>
              <c:f>Summary!$I$3</c:f>
              <c:strCache>
                <c:ptCount val="1"/>
                <c:pt idx="0">
                  <c:v>Supplier</c:v>
                </c:pt>
              </c:strCache>
            </c:strRef>
          </c:tx>
          <c:spPr>
            <a:ln cmpd="sng">
              <a:solidFill>
                <a:srgbClr val="6AA84F">
                  <a:alpha val="100000"/>
                </a:srgbClr>
              </a:solidFill>
            </a:ln>
          </c:spPr>
          <c:marker>
            <c:symbol val="none"/>
          </c:marker>
          <c:cat>
            <c:numRef>
              <c:f>Summary!$A$4:$A$53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Summary!$I$4:$I$53</c:f>
              <c:numCache>
                <c:formatCode>General</c:formatCode>
                <c:ptCount val="50"/>
                <c:pt idx="0">
                  <c:v>15</c:v>
                </c:pt>
                <c:pt idx="1">
                  <c:v>15</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numCache>
            </c:numRef>
          </c:val>
          <c:smooth val="0"/>
          <c:extLst>
            <c:ext xmlns:c16="http://schemas.microsoft.com/office/drawing/2014/chart" uri="{C3380CC4-5D6E-409C-BE32-E72D297353CC}">
              <c16:uniqueId val="{00000002-B9A2-4717-B2A5-D9A91D392286}"/>
            </c:ext>
          </c:extLst>
        </c:ser>
        <c:ser>
          <c:idx val="3"/>
          <c:order val="3"/>
          <c:tx>
            <c:strRef>
              <c:f>Summary!$J$3</c:f>
              <c:strCache>
                <c:ptCount val="1"/>
                <c:pt idx="0">
                  <c:v>Factory</c:v>
                </c:pt>
              </c:strCache>
            </c:strRef>
          </c:tx>
          <c:spPr>
            <a:ln cmpd="sng">
              <a:solidFill>
                <a:srgbClr val="0000FF">
                  <a:alpha val="100000"/>
                </a:srgbClr>
              </a:solidFill>
            </a:ln>
          </c:spPr>
          <c:marker>
            <c:symbol val="none"/>
          </c:marker>
          <c:cat>
            <c:numRef>
              <c:f>Summary!$A$4:$A$53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Summary!$J$4:$J$53</c:f>
              <c:numCache>
                <c:formatCode>General</c:formatCode>
                <c:ptCount val="50"/>
                <c:pt idx="0">
                  <c:v>15</c:v>
                </c:pt>
                <c:pt idx="1">
                  <c:v>15</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numCache>
            </c:numRef>
          </c:val>
          <c:smooth val="0"/>
          <c:extLst>
            <c:ext xmlns:c16="http://schemas.microsoft.com/office/drawing/2014/chart" uri="{C3380CC4-5D6E-409C-BE32-E72D297353CC}">
              <c16:uniqueId val="{00000003-B9A2-4717-B2A5-D9A91D392286}"/>
            </c:ext>
          </c:extLst>
        </c:ser>
        <c:dLbls>
          <c:showLegendKey val="0"/>
          <c:showVal val="0"/>
          <c:showCatName val="0"/>
          <c:showSerName val="0"/>
          <c:showPercent val="0"/>
          <c:showBubbleSize val="0"/>
        </c:dLbls>
        <c:smooth val="0"/>
        <c:axId val="446836782"/>
        <c:axId val="850800191"/>
      </c:lineChart>
      <c:catAx>
        <c:axId val="446836782"/>
        <c:scaling>
          <c:orientation val="minMax"/>
        </c:scaling>
        <c:delete val="0"/>
        <c:axPos val="b"/>
        <c:title>
          <c:tx>
            <c:rich>
              <a:bodyPr/>
              <a:lstStyle/>
              <a:p>
                <a:pPr lvl="0">
                  <a:defRPr b="0">
                    <a:solidFill>
                      <a:srgbClr val="000000"/>
                    </a:solidFill>
                    <a:latin typeface="+mn-lt"/>
                  </a:defRPr>
                </a:pPr>
                <a:r>
                  <a:rPr lang="nb-NO" b="0">
                    <a:solidFill>
                      <a:srgbClr val="000000"/>
                    </a:solidFill>
                    <a:latin typeface="+mn-lt"/>
                  </a:rPr>
                  <a:t>Week #</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nb-NO"/>
          </a:p>
        </c:txPr>
        <c:crossAx val="850800191"/>
        <c:crosses val="autoZero"/>
        <c:auto val="1"/>
        <c:lblAlgn val="ctr"/>
        <c:lblOffset val="100"/>
        <c:noMultiLvlLbl val="1"/>
      </c:catAx>
      <c:valAx>
        <c:axId val="8508001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nb-N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nb-NO"/>
          </a:p>
        </c:txPr>
        <c:crossAx val="446836782"/>
        <c:crosses val="autoZero"/>
        <c:crossBetween val="between"/>
      </c:valAx>
    </c:plotArea>
    <c:legend>
      <c:legendPos val="r"/>
      <c:overlay val="0"/>
      <c:txPr>
        <a:bodyPr/>
        <a:lstStyle/>
        <a:p>
          <a:pPr lvl="0">
            <a:defRPr b="0">
              <a:solidFill>
                <a:srgbClr val="1A1A1A"/>
              </a:solidFill>
              <a:latin typeface="+mn-lt"/>
            </a:defRPr>
          </a:pPr>
          <a:endParaRPr lang="nb-N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lvl="0">
              <a:defRPr b="0">
                <a:solidFill>
                  <a:srgbClr val="757575"/>
                </a:solidFill>
                <a:latin typeface="+mn-lt"/>
              </a:defRPr>
            </a:pPr>
            <a:r>
              <a:rPr lang="nb-NO" b="0">
                <a:solidFill>
                  <a:srgbClr val="757575"/>
                </a:solidFill>
                <a:latin typeface="+mn-lt"/>
              </a:rPr>
              <a:t>Total cost at end of week</a:t>
            </a:r>
          </a:p>
        </c:rich>
      </c:tx>
      <c:overlay val="0"/>
    </c:title>
    <c:autoTitleDeleted val="0"/>
    <c:plotArea>
      <c:layout/>
      <c:lineChart>
        <c:grouping val="standard"/>
        <c:varyColors val="1"/>
        <c:ser>
          <c:idx val="0"/>
          <c:order val="0"/>
          <c:tx>
            <c:strRef>
              <c:f>Summary!$T$3</c:f>
              <c:strCache>
                <c:ptCount val="1"/>
                <c:pt idx="0">
                  <c:v>Retailer</c:v>
                </c:pt>
              </c:strCache>
            </c:strRef>
          </c:tx>
          <c:spPr>
            <a:ln cmpd="sng">
              <a:solidFill>
                <a:schemeClr val="accent2"/>
              </a:solidFill>
            </a:ln>
          </c:spPr>
          <c:marker>
            <c:symbol val="none"/>
          </c:marker>
          <c:cat>
            <c:numRef>
              <c:f>Summary!$S$4:$S$53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Summary!$T$4:$T$53</c:f>
              <c:numCache>
                <c:formatCode>"$"#,##0</c:formatCode>
                <c:ptCount val="50"/>
                <c:pt idx="0">
                  <c:v>15</c:v>
                </c:pt>
                <c:pt idx="1">
                  <c:v>25</c:v>
                </c:pt>
                <c:pt idx="2">
                  <c:v>35</c:v>
                </c:pt>
                <c:pt idx="3">
                  <c:v>40</c:v>
                </c:pt>
                <c:pt idx="4">
                  <c:v>40</c:v>
                </c:pt>
                <c:pt idx="5">
                  <c:v>50</c:v>
                </c:pt>
                <c:pt idx="6">
                  <c:v>70</c:v>
                </c:pt>
                <c:pt idx="7">
                  <c:v>100</c:v>
                </c:pt>
                <c:pt idx="8">
                  <c:v>140</c:v>
                </c:pt>
                <c:pt idx="9">
                  <c:v>190</c:v>
                </c:pt>
                <c:pt idx="10">
                  <c:v>264</c:v>
                </c:pt>
                <c:pt idx="11">
                  <c:v>354</c:v>
                </c:pt>
                <c:pt idx="12">
                  <c:v>468</c:v>
                </c:pt>
                <c:pt idx="13">
                  <c:v>606</c:v>
                </c:pt>
                <c:pt idx="14">
                  <c:v>768</c:v>
                </c:pt>
                <c:pt idx="15">
                  <c:v>954</c:v>
                </c:pt>
                <c:pt idx="16">
                  <c:v>1164</c:v>
                </c:pt>
                <c:pt idx="17">
                  <c:v>1398</c:v>
                </c:pt>
                <c:pt idx="18">
                  <c:v>1656</c:v>
                </c:pt>
                <c:pt idx="19">
                  <c:v>1938</c:v>
                </c:pt>
                <c:pt idx="20">
                  <c:v>2244</c:v>
                </c:pt>
                <c:pt idx="21">
                  <c:v>2574</c:v>
                </c:pt>
                <c:pt idx="22">
                  <c:v>2928</c:v>
                </c:pt>
                <c:pt idx="23">
                  <c:v>3306</c:v>
                </c:pt>
                <c:pt idx="24">
                  <c:v>3708</c:v>
                </c:pt>
                <c:pt idx="25">
                  <c:v>4134</c:v>
                </c:pt>
                <c:pt idx="26">
                  <c:v>4584</c:v>
                </c:pt>
                <c:pt idx="27">
                  <c:v>5058</c:v>
                </c:pt>
                <c:pt idx="28">
                  <c:v>5556</c:v>
                </c:pt>
                <c:pt idx="29">
                  <c:v>6078</c:v>
                </c:pt>
                <c:pt idx="30">
                  <c:v>6624</c:v>
                </c:pt>
                <c:pt idx="31">
                  <c:v>7194</c:v>
                </c:pt>
                <c:pt idx="32">
                  <c:v>7788</c:v>
                </c:pt>
                <c:pt idx="33">
                  <c:v>8406</c:v>
                </c:pt>
                <c:pt idx="34">
                  <c:v>9048</c:v>
                </c:pt>
                <c:pt idx="35">
                  <c:v>9714</c:v>
                </c:pt>
                <c:pt idx="36">
                  <c:v>10404</c:v>
                </c:pt>
                <c:pt idx="37">
                  <c:v>11118</c:v>
                </c:pt>
                <c:pt idx="38">
                  <c:v>11856</c:v>
                </c:pt>
                <c:pt idx="39">
                  <c:v>12618</c:v>
                </c:pt>
                <c:pt idx="40">
                  <c:v>13404</c:v>
                </c:pt>
                <c:pt idx="41">
                  <c:v>14214</c:v>
                </c:pt>
                <c:pt idx="42">
                  <c:v>15048</c:v>
                </c:pt>
                <c:pt idx="43">
                  <c:v>15906</c:v>
                </c:pt>
                <c:pt idx="44">
                  <c:v>16788</c:v>
                </c:pt>
                <c:pt idx="45">
                  <c:v>17694</c:v>
                </c:pt>
                <c:pt idx="46">
                  <c:v>18624</c:v>
                </c:pt>
                <c:pt idx="47">
                  <c:v>19578</c:v>
                </c:pt>
                <c:pt idx="48">
                  <c:v>20556</c:v>
                </c:pt>
                <c:pt idx="49">
                  <c:v>21558</c:v>
                </c:pt>
              </c:numCache>
            </c:numRef>
          </c:val>
          <c:smooth val="0"/>
          <c:extLst>
            <c:ext xmlns:c16="http://schemas.microsoft.com/office/drawing/2014/chart" uri="{C3380CC4-5D6E-409C-BE32-E72D297353CC}">
              <c16:uniqueId val="{00000000-6934-4461-B6FB-43B3B2B2EDB0}"/>
            </c:ext>
          </c:extLst>
        </c:ser>
        <c:ser>
          <c:idx val="1"/>
          <c:order val="1"/>
          <c:tx>
            <c:strRef>
              <c:f>Summary!$U$3</c:f>
              <c:strCache>
                <c:ptCount val="1"/>
                <c:pt idx="0">
                  <c:v>Wholesaler</c:v>
                </c:pt>
              </c:strCache>
            </c:strRef>
          </c:tx>
          <c:spPr>
            <a:ln cmpd="sng">
              <a:solidFill>
                <a:schemeClr val="accent3"/>
              </a:solidFill>
            </a:ln>
          </c:spPr>
          <c:marker>
            <c:symbol val="none"/>
          </c:marker>
          <c:cat>
            <c:numRef>
              <c:f>Summary!$S$4:$S$53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Summary!$U$4:$U$53</c:f>
              <c:numCache>
                <c:formatCode>"$"#,##0</c:formatCode>
                <c:ptCount val="50"/>
                <c:pt idx="0">
                  <c:v>15</c:v>
                </c:pt>
                <c:pt idx="1">
                  <c:v>30</c:v>
                </c:pt>
                <c:pt idx="2">
                  <c:v>50</c:v>
                </c:pt>
                <c:pt idx="3">
                  <c:v>70</c:v>
                </c:pt>
                <c:pt idx="4">
                  <c:v>90</c:v>
                </c:pt>
                <c:pt idx="5">
                  <c:v>110</c:v>
                </c:pt>
                <c:pt idx="6">
                  <c:v>130</c:v>
                </c:pt>
                <c:pt idx="7">
                  <c:v>150</c:v>
                </c:pt>
                <c:pt idx="8">
                  <c:v>170</c:v>
                </c:pt>
                <c:pt idx="9">
                  <c:v>190</c:v>
                </c:pt>
                <c:pt idx="10">
                  <c:v>210</c:v>
                </c:pt>
                <c:pt idx="11">
                  <c:v>230</c:v>
                </c:pt>
                <c:pt idx="12">
                  <c:v>250</c:v>
                </c:pt>
                <c:pt idx="13">
                  <c:v>270</c:v>
                </c:pt>
                <c:pt idx="14">
                  <c:v>290</c:v>
                </c:pt>
                <c:pt idx="15">
                  <c:v>310</c:v>
                </c:pt>
                <c:pt idx="16">
                  <c:v>330</c:v>
                </c:pt>
                <c:pt idx="17">
                  <c:v>350</c:v>
                </c:pt>
                <c:pt idx="18">
                  <c:v>370</c:v>
                </c:pt>
                <c:pt idx="19">
                  <c:v>390</c:v>
                </c:pt>
                <c:pt idx="20">
                  <c:v>410</c:v>
                </c:pt>
                <c:pt idx="21">
                  <c:v>430</c:v>
                </c:pt>
                <c:pt idx="22">
                  <c:v>450</c:v>
                </c:pt>
                <c:pt idx="23">
                  <c:v>470</c:v>
                </c:pt>
                <c:pt idx="24">
                  <c:v>490</c:v>
                </c:pt>
                <c:pt idx="25">
                  <c:v>510</c:v>
                </c:pt>
                <c:pt idx="26">
                  <c:v>530</c:v>
                </c:pt>
                <c:pt idx="27">
                  <c:v>550</c:v>
                </c:pt>
                <c:pt idx="28">
                  <c:v>570</c:v>
                </c:pt>
                <c:pt idx="29">
                  <c:v>590</c:v>
                </c:pt>
                <c:pt idx="30">
                  <c:v>610</c:v>
                </c:pt>
                <c:pt idx="31">
                  <c:v>630</c:v>
                </c:pt>
                <c:pt idx="32">
                  <c:v>650</c:v>
                </c:pt>
                <c:pt idx="33">
                  <c:v>670</c:v>
                </c:pt>
                <c:pt idx="34">
                  <c:v>690</c:v>
                </c:pt>
                <c:pt idx="35">
                  <c:v>710</c:v>
                </c:pt>
                <c:pt idx="36">
                  <c:v>730</c:v>
                </c:pt>
                <c:pt idx="37">
                  <c:v>750</c:v>
                </c:pt>
                <c:pt idx="38">
                  <c:v>770</c:v>
                </c:pt>
                <c:pt idx="39">
                  <c:v>790</c:v>
                </c:pt>
                <c:pt idx="40">
                  <c:v>810</c:v>
                </c:pt>
                <c:pt idx="41">
                  <c:v>830</c:v>
                </c:pt>
                <c:pt idx="42">
                  <c:v>850</c:v>
                </c:pt>
                <c:pt idx="43">
                  <c:v>870</c:v>
                </c:pt>
                <c:pt idx="44">
                  <c:v>890</c:v>
                </c:pt>
                <c:pt idx="45">
                  <c:v>910</c:v>
                </c:pt>
                <c:pt idx="46">
                  <c:v>930</c:v>
                </c:pt>
                <c:pt idx="47">
                  <c:v>950</c:v>
                </c:pt>
                <c:pt idx="48">
                  <c:v>970</c:v>
                </c:pt>
                <c:pt idx="49">
                  <c:v>990</c:v>
                </c:pt>
              </c:numCache>
            </c:numRef>
          </c:val>
          <c:smooth val="0"/>
          <c:extLst>
            <c:ext xmlns:c16="http://schemas.microsoft.com/office/drawing/2014/chart" uri="{C3380CC4-5D6E-409C-BE32-E72D297353CC}">
              <c16:uniqueId val="{00000001-6934-4461-B6FB-43B3B2B2EDB0}"/>
            </c:ext>
          </c:extLst>
        </c:ser>
        <c:ser>
          <c:idx val="2"/>
          <c:order val="2"/>
          <c:tx>
            <c:strRef>
              <c:f>Summary!$V$3</c:f>
              <c:strCache>
                <c:ptCount val="1"/>
                <c:pt idx="0">
                  <c:v>Supplier</c:v>
                </c:pt>
              </c:strCache>
            </c:strRef>
          </c:tx>
          <c:spPr>
            <a:ln cmpd="sng">
              <a:solidFill>
                <a:schemeClr val="accent4"/>
              </a:solidFill>
            </a:ln>
          </c:spPr>
          <c:marker>
            <c:symbol val="none"/>
          </c:marker>
          <c:cat>
            <c:numRef>
              <c:f>Summary!$S$4:$S$53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Summary!$V$4:$V$53</c:f>
              <c:numCache>
                <c:formatCode>"$"#,##0</c:formatCode>
                <c:ptCount val="50"/>
                <c:pt idx="0">
                  <c:v>15</c:v>
                </c:pt>
                <c:pt idx="1">
                  <c:v>30</c:v>
                </c:pt>
                <c:pt idx="2">
                  <c:v>50</c:v>
                </c:pt>
                <c:pt idx="3">
                  <c:v>70</c:v>
                </c:pt>
                <c:pt idx="4">
                  <c:v>90</c:v>
                </c:pt>
                <c:pt idx="5">
                  <c:v>110</c:v>
                </c:pt>
                <c:pt idx="6">
                  <c:v>130</c:v>
                </c:pt>
                <c:pt idx="7">
                  <c:v>150</c:v>
                </c:pt>
                <c:pt idx="8">
                  <c:v>170</c:v>
                </c:pt>
                <c:pt idx="9">
                  <c:v>190</c:v>
                </c:pt>
                <c:pt idx="10">
                  <c:v>210</c:v>
                </c:pt>
                <c:pt idx="11">
                  <c:v>230</c:v>
                </c:pt>
                <c:pt idx="12">
                  <c:v>250</c:v>
                </c:pt>
                <c:pt idx="13">
                  <c:v>270</c:v>
                </c:pt>
                <c:pt idx="14">
                  <c:v>290</c:v>
                </c:pt>
                <c:pt idx="15">
                  <c:v>310</c:v>
                </c:pt>
                <c:pt idx="16">
                  <c:v>330</c:v>
                </c:pt>
                <c:pt idx="17">
                  <c:v>350</c:v>
                </c:pt>
                <c:pt idx="18">
                  <c:v>370</c:v>
                </c:pt>
                <c:pt idx="19">
                  <c:v>390</c:v>
                </c:pt>
                <c:pt idx="20">
                  <c:v>410</c:v>
                </c:pt>
                <c:pt idx="21">
                  <c:v>430</c:v>
                </c:pt>
                <c:pt idx="22">
                  <c:v>450</c:v>
                </c:pt>
                <c:pt idx="23">
                  <c:v>470</c:v>
                </c:pt>
                <c:pt idx="24">
                  <c:v>490</c:v>
                </c:pt>
                <c:pt idx="25">
                  <c:v>510</c:v>
                </c:pt>
                <c:pt idx="26">
                  <c:v>530</c:v>
                </c:pt>
                <c:pt idx="27">
                  <c:v>550</c:v>
                </c:pt>
                <c:pt idx="28">
                  <c:v>570</c:v>
                </c:pt>
                <c:pt idx="29">
                  <c:v>590</c:v>
                </c:pt>
                <c:pt idx="30">
                  <c:v>610</c:v>
                </c:pt>
                <c:pt idx="31">
                  <c:v>630</c:v>
                </c:pt>
                <c:pt idx="32">
                  <c:v>650</c:v>
                </c:pt>
                <c:pt idx="33">
                  <c:v>670</c:v>
                </c:pt>
                <c:pt idx="34">
                  <c:v>690</c:v>
                </c:pt>
                <c:pt idx="35">
                  <c:v>710</c:v>
                </c:pt>
                <c:pt idx="36">
                  <c:v>730</c:v>
                </c:pt>
                <c:pt idx="37">
                  <c:v>750</c:v>
                </c:pt>
                <c:pt idx="38">
                  <c:v>770</c:v>
                </c:pt>
                <c:pt idx="39">
                  <c:v>790</c:v>
                </c:pt>
                <c:pt idx="40">
                  <c:v>810</c:v>
                </c:pt>
                <c:pt idx="41">
                  <c:v>830</c:v>
                </c:pt>
                <c:pt idx="42">
                  <c:v>850</c:v>
                </c:pt>
                <c:pt idx="43">
                  <c:v>870</c:v>
                </c:pt>
                <c:pt idx="44">
                  <c:v>890</c:v>
                </c:pt>
                <c:pt idx="45">
                  <c:v>910</c:v>
                </c:pt>
                <c:pt idx="46">
                  <c:v>930</c:v>
                </c:pt>
                <c:pt idx="47">
                  <c:v>950</c:v>
                </c:pt>
                <c:pt idx="48">
                  <c:v>970</c:v>
                </c:pt>
                <c:pt idx="49">
                  <c:v>990</c:v>
                </c:pt>
              </c:numCache>
            </c:numRef>
          </c:val>
          <c:smooth val="0"/>
          <c:extLst>
            <c:ext xmlns:c16="http://schemas.microsoft.com/office/drawing/2014/chart" uri="{C3380CC4-5D6E-409C-BE32-E72D297353CC}">
              <c16:uniqueId val="{00000002-6934-4461-B6FB-43B3B2B2EDB0}"/>
            </c:ext>
          </c:extLst>
        </c:ser>
        <c:ser>
          <c:idx val="3"/>
          <c:order val="3"/>
          <c:tx>
            <c:strRef>
              <c:f>Summary!$W$3</c:f>
              <c:strCache>
                <c:ptCount val="1"/>
                <c:pt idx="0">
                  <c:v>Factory</c:v>
                </c:pt>
              </c:strCache>
            </c:strRef>
          </c:tx>
          <c:spPr>
            <a:ln cmpd="sng">
              <a:solidFill>
                <a:schemeClr val="accent1"/>
              </a:solidFill>
            </a:ln>
          </c:spPr>
          <c:marker>
            <c:symbol val="none"/>
          </c:marker>
          <c:cat>
            <c:numRef>
              <c:f>Summary!$S$4:$S$53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Summary!$W$4:$W$53</c:f>
              <c:numCache>
                <c:formatCode>"$"#,##0</c:formatCode>
                <c:ptCount val="50"/>
                <c:pt idx="0">
                  <c:v>15</c:v>
                </c:pt>
                <c:pt idx="1">
                  <c:v>30</c:v>
                </c:pt>
                <c:pt idx="2">
                  <c:v>50</c:v>
                </c:pt>
                <c:pt idx="3">
                  <c:v>70</c:v>
                </c:pt>
                <c:pt idx="4">
                  <c:v>90</c:v>
                </c:pt>
                <c:pt idx="5">
                  <c:v>110</c:v>
                </c:pt>
                <c:pt idx="6">
                  <c:v>130</c:v>
                </c:pt>
                <c:pt idx="7">
                  <c:v>150</c:v>
                </c:pt>
                <c:pt idx="8">
                  <c:v>170</c:v>
                </c:pt>
                <c:pt idx="9">
                  <c:v>190</c:v>
                </c:pt>
                <c:pt idx="10">
                  <c:v>210</c:v>
                </c:pt>
                <c:pt idx="11">
                  <c:v>230</c:v>
                </c:pt>
                <c:pt idx="12">
                  <c:v>250</c:v>
                </c:pt>
                <c:pt idx="13">
                  <c:v>270</c:v>
                </c:pt>
                <c:pt idx="14">
                  <c:v>290</c:v>
                </c:pt>
                <c:pt idx="15">
                  <c:v>310</c:v>
                </c:pt>
                <c:pt idx="16">
                  <c:v>330</c:v>
                </c:pt>
                <c:pt idx="17">
                  <c:v>350</c:v>
                </c:pt>
                <c:pt idx="18">
                  <c:v>370</c:v>
                </c:pt>
                <c:pt idx="19">
                  <c:v>390</c:v>
                </c:pt>
                <c:pt idx="20">
                  <c:v>410</c:v>
                </c:pt>
                <c:pt idx="21">
                  <c:v>430</c:v>
                </c:pt>
                <c:pt idx="22">
                  <c:v>450</c:v>
                </c:pt>
                <c:pt idx="23">
                  <c:v>470</c:v>
                </c:pt>
                <c:pt idx="24">
                  <c:v>490</c:v>
                </c:pt>
                <c:pt idx="25">
                  <c:v>510</c:v>
                </c:pt>
                <c:pt idx="26">
                  <c:v>530</c:v>
                </c:pt>
                <c:pt idx="27">
                  <c:v>550</c:v>
                </c:pt>
                <c:pt idx="28">
                  <c:v>570</c:v>
                </c:pt>
                <c:pt idx="29">
                  <c:v>590</c:v>
                </c:pt>
                <c:pt idx="30">
                  <c:v>610</c:v>
                </c:pt>
                <c:pt idx="31">
                  <c:v>630</c:v>
                </c:pt>
                <c:pt idx="32">
                  <c:v>650</c:v>
                </c:pt>
                <c:pt idx="33">
                  <c:v>670</c:v>
                </c:pt>
                <c:pt idx="34">
                  <c:v>690</c:v>
                </c:pt>
                <c:pt idx="35">
                  <c:v>710</c:v>
                </c:pt>
                <c:pt idx="36">
                  <c:v>730</c:v>
                </c:pt>
                <c:pt idx="37">
                  <c:v>750</c:v>
                </c:pt>
                <c:pt idx="38">
                  <c:v>770</c:v>
                </c:pt>
                <c:pt idx="39">
                  <c:v>790</c:v>
                </c:pt>
                <c:pt idx="40">
                  <c:v>810</c:v>
                </c:pt>
                <c:pt idx="41">
                  <c:v>830</c:v>
                </c:pt>
                <c:pt idx="42">
                  <c:v>850</c:v>
                </c:pt>
                <c:pt idx="43">
                  <c:v>870</c:v>
                </c:pt>
                <c:pt idx="44">
                  <c:v>890</c:v>
                </c:pt>
                <c:pt idx="45">
                  <c:v>910</c:v>
                </c:pt>
                <c:pt idx="46">
                  <c:v>930</c:v>
                </c:pt>
                <c:pt idx="47">
                  <c:v>950</c:v>
                </c:pt>
                <c:pt idx="48">
                  <c:v>970</c:v>
                </c:pt>
                <c:pt idx="49">
                  <c:v>990</c:v>
                </c:pt>
              </c:numCache>
            </c:numRef>
          </c:val>
          <c:smooth val="0"/>
          <c:extLst>
            <c:ext xmlns:c16="http://schemas.microsoft.com/office/drawing/2014/chart" uri="{C3380CC4-5D6E-409C-BE32-E72D297353CC}">
              <c16:uniqueId val="{00000003-6934-4461-B6FB-43B3B2B2EDB0}"/>
            </c:ext>
          </c:extLst>
        </c:ser>
        <c:dLbls>
          <c:showLegendKey val="0"/>
          <c:showVal val="0"/>
          <c:showCatName val="0"/>
          <c:showSerName val="0"/>
          <c:showPercent val="0"/>
          <c:showBubbleSize val="0"/>
        </c:dLbls>
        <c:smooth val="0"/>
        <c:axId val="1212971039"/>
        <c:axId val="269339704"/>
      </c:lineChart>
      <c:catAx>
        <c:axId val="1212971039"/>
        <c:scaling>
          <c:orientation val="minMax"/>
        </c:scaling>
        <c:delete val="0"/>
        <c:axPos val="b"/>
        <c:title>
          <c:tx>
            <c:rich>
              <a:bodyPr/>
              <a:lstStyle/>
              <a:p>
                <a:pPr lvl="0">
                  <a:defRPr b="0">
                    <a:solidFill>
                      <a:srgbClr val="000000"/>
                    </a:solidFill>
                    <a:latin typeface="+mn-lt"/>
                  </a:defRPr>
                </a:pPr>
                <a:r>
                  <a:rPr lang="nb-NO" b="0">
                    <a:solidFill>
                      <a:srgbClr val="000000"/>
                    </a:solidFill>
                    <a:latin typeface="+mn-lt"/>
                  </a:rPr>
                  <a:t>Week</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nb-NO"/>
          </a:p>
        </c:txPr>
        <c:crossAx val="269339704"/>
        <c:crosses val="autoZero"/>
        <c:auto val="1"/>
        <c:lblAlgn val="ctr"/>
        <c:lblOffset val="100"/>
        <c:noMultiLvlLbl val="1"/>
      </c:catAx>
      <c:valAx>
        <c:axId val="2693397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nb-NO"/>
              </a:p>
            </c:rich>
          </c:tx>
          <c:overlay val="0"/>
        </c:title>
        <c:numFmt formatCode="&quot;$&quot;#,##0" sourceLinked="1"/>
        <c:majorTickMark val="none"/>
        <c:minorTickMark val="none"/>
        <c:tickLblPos val="nextTo"/>
        <c:spPr>
          <a:ln/>
        </c:spPr>
        <c:txPr>
          <a:bodyPr/>
          <a:lstStyle/>
          <a:p>
            <a:pPr lvl="0">
              <a:defRPr b="0">
                <a:solidFill>
                  <a:srgbClr val="000000"/>
                </a:solidFill>
                <a:latin typeface="+mn-lt"/>
              </a:defRPr>
            </a:pPr>
            <a:endParaRPr lang="nb-NO"/>
          </a:p>
        </c:txPr>
        <c:crossAx val="1212971039"/>
        <c:crosses val="autoZero"/>
        <c:crossBetween val="between"/>
      </c:valAx>
    </c:plotArea>
    <c:legend>
      <c:legendPos val="r"/>
      <c:overlay val="0"/>
      <c:txPr>
        <a:bodyPr/>
        <a:lstStyle/>
        <a:p>
          <a:pPr lvl="0">
            <a:defRPr b="0">
              <a:solidFill>
                <a:srgbClr val="1A1A1A"/>
              </a:solidFill>
              <a:latin typeface="+mn-lt"/>
            </a:defRPr>
          </a:pPr>
          <a:endParaRPr lang="nb-N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66675</xdr:colOff>
      <xdr:row>1</xdr:row>
      <xdr:rowOff>161925</xdr:rowOff>
    </xdr:from>
    <xdr:ext cx="4029075" cy="2495550"/>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66675</xdr:colOff>
      <xdr:row>14</xdr:row>
      <xdr:rowOff>171450</xdr:rowOff>
    </xdr:from>
    <xdr:ext cx="4029075" cy="249555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eergame.org/the-game/structure-rules/"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B6"/>
  <sheetViews>
    <sheetView workbookViewId="0"/>
  </sheetViews>
  <sheetFormatPr baseColWidth="10" defaultColWidth="12.6640625" defaultRowHeight="15.75" customHeight="1" x14ac:dyDescent="0.25"/>
  <sheetData>
    <row r="2" spans="2:2" x14ac:dyDescent="0.25">
      <c r="B2" s="1" t="s">
        <v>0</v>
      </c>
    </row>
    <row r="4" spans="2:2" x14ac:dyDescent="0.25">
      <c r="B4" s="1" t="s">
        <v>1</v>
      </c>
    </row>
    <row r="6" spans="2:2" x14ac:dyDescent="0.25">
      <c r="B6"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x14ac:dyDescent="0.25"/>
  <cols>
    <col min="2" max="3" width="10.33203125" customWidth="1"/>
    <col min="4" max="4" width="4.88671875" customWidth="1"/>
    <col min="5" max="5" width="5" customWidth="1"/>
    <col min="7" max="7" width="5.44140625" customWidth="1"/>
    <col min="8" max="8" width="5.33203125" customWidth="1"/>
    <col min="10" max="10" width="5" customWidth="1"/>
    <col min="11" max="11" width="4.6640625" customWidth="1"/>
    <col min="13" max="13" width="4.88671875" customWidth="1"/>
    <col min="14" max="14" width="4.6640625" customWidth="1"/>
  </cols>
  <sheetData>
    <row r="1" spans="1:27" x14ac:dyDescent="0.25">
      <c r="A1" s="2" t="s">
        <v>3</v>
      </c>
      <c r="B1" s="2" t="s">
        <v>4</v>
      </c>
      <c r="C1" s="2" t="s">
        <v>5</v>
      </c>
      <c r="D1" s="2" t="s">
        <v>6</v>
      </c>
      <c r="E1" s="2" t="s">
        <v>7</v>
      </c>
      <c r="F1" s="2" t="s">
        <v>8</v>
      </c>
      <c r="G1" s="2" t="s">
        <v>9</v>
      </c>
      <c r="H1" s="2" t="s">
        <v>10</v>
      </c>
      <c r="I1" s="2" t="s">
        <v>11</v>
      </c>
      <c r="J1" s="2" t="s">
        <v>12</v>
      </c>
      <c r="K1" s="2" t="s">
        <v>13</v>
      </c>
      <c r="L1" s="2" t="s">
        <v>14</v>
      </c>
      <c r="M1" s="2" t="s">
        <v>15</v>
      </c>
      <c r="N1" s="2" t="s">
        <v>16</v>
      </c>
      <c r="O1" s="2"/>
      <c r="P1" s="2" t="s">
        <v>17</v>
      </c>
      <c r="Q1" s="2"/>
      <c r="R1" s="2"/>
      <c r="S1" s="2"/>
      <c r="T1" s="2"/>
      <c r="U1" s="2"/>
      <c r="V1" s="2"/>
      <c r="W1" s="2"/>
      <c r="X1" s="2"/>
      <c r="Y1" s="2"/>
      <c r="Z1" s="2"/>
      <c r="AA1" s="2"/>
    </row>
    <row r="2" spans="1:27" x14ac:dyDescent="0.25">
      <c r="A2" s="2">
        <v>1</v>
      </c>
      <c r="B2" s="1">
        <v>5</v>
      </c>
      <c r="C2" s="1">
        <v>15</v>
      </c>
      <c r="D2" s="1">
        <v>0</v>
      </c>
      <c r="E2" s="1">
        <v>5</v>
      </c>
      <c r="F2" s="1">
        <v>15</v>
      </c>
      <c r="G2" s="1">
        <v>0</v>
      </c>
      <c r="H2" s="1">
        <v>5</v>
      </c>
      <c r="I2" s="1">
        <v>15</v>
      </c>
      <c r="J2" s="1">
        <v>0</v>
      </c>
      <c r="K2" s="1">
        <v>5</v>
      </c>
      <c r="L2" s="1">
        <v>15</v>
      </c>
      <c r="M2" s="1">
        <v>0</v>
      </c>
      <c r="N2" s="1">
        <v>5</v>
      </c>
      <c r="P2" s="3" t="s">
        <v>18</v>
      </c>
    </row>
    <row r="3" spans="1:27" x14ac:dyDescent="0.25">
      <c r="A3" s="2">
        <f t="shared" ref="A3:A51" si="0">A2+1</f>
        <v>2</v>
      </c>
      <c r="B3" s="1">
        <f>IF('Order Side'!G3,
    IF('Order Side'!B3 &lt;= C2,
        'Order Side'!B3,
        IF(I3&lt;0,
            IF(C2&gt;0,
                IF(C2+D2 &gt; 'Order Side'!B3,
                    'Order Side'!B3,
                    C2 + D2
                ),
                IF(D2 &gt;= 'Order Side'!B3 -C2,
                    'Order Side'!B3 -C2,
                    D2
                )
            ),
            IF(C2&lt;0,
                IF( D2 &gt;= 'Order Side'!B3 -C2,
                    'Order Side'!B3 -C2,
                    D2
                ),
                IF(C2+D2 &gt; 'Order Side'!B3,
                    'Order Side'!B3,
                    C2+D2
                )
            )
        )
    ),
)</f>
        <v>5</v>
      </c>
      <c r="C3" s="1">
        <f>D2+C2-'Order Side'!B3</f>
        <v>10</v>
      </c>
      <c r="D3" s="1">
        <f t="shared" ref="D3:D51" si="1">E2</f>
        <v>5</v>
      </c>
      <c r="E3" s="1">
        <f>IF('Order Side'!G3,
    IF('Order Side'!C3 &lt;= F2,
        'Order Side'!C3,
        IF(I3&lt;0,
            IF(F2&gt;0,
                IF(F2+G2 &gt; 'Order Side'!C3,
                    'Order Side'!C3,
                    F2 + G2
                ),
                IF(G2 &gt;= 'Order Side'!C3 -F2,
                    'Order Side'!C3 -F2,
                    G2
                )
            ),
            IF(F2&lt;0,
                IF( G2 &gt;= 'Order Side'!C3 -F2,
                    'Order Side'!C3 -F2,
                    G2
                ),
                IF(F2+G2 &gt; 'Order Side'!C3,
                    'Order Side'!C3,
                    F2+G2
                )
            )
        )
    ),
)</f>
        <v>0</v>
      </c>
      <c r="F3" s="1">
        <f>G2+F2-'Order Side'!C3</f>
        <v>15</v>
      </c>
      <c r="G3" s="1">
        <f t="shared" ref="G3:G51" si="2">H2</f>
        <v>5</v>
      </c>
      <c r="H3" s="1">
        <f>IF('Order Side'!G3,
    IF('Order Side'!D3 &lt;= I2,
        'Order Side'!D3,
        IF(I3&lt;0,
            IF(I2&gt;0,
                IF(I2+J2 &gt; 'Order Side'!D3,
                    'Order Side'!D3,
                    I2 + J2
                ),
                IF(J2 &gt;= 'Order Side'!D3 -I2,
                    'Order Side'!D3 -I2,
                    J2
                )
            ),
            IF(I2&lt;0,
                IF( J2 &gt;= 'Order Side'!D3 -I2,
                    'Order Side'!D3 -I2,
                    J2
                ),
                IF(I2+J2 &gt; 'Order Side'!D3,
                    'Order Side'!D3,
                    I2+J2
                )
            )
        )
    ),
)</f>
        <v>0</v>
      </c>
      <c r="I3" s="1">
        <f>J2+I2-'Order Side'!D3</f>
        <v>15</v>
      </c>
      <c r="J3" s="1">
        <f t="shared" ref="J3:J51" si="3">K2</f>
        <v>5</v>
      </c>
      <c r="K3" s="1">
        <f>IF('Order Side'!G3,
    IF('Order Side'!E3 &lt;= L2,
        'Order Side'!E3,
        IF(L3&lt;0,
            IF(L2&gt;0,
                IF(L2+M2 &gt; 'Order Side'!E3,
                    'Order Side'!E3,
                    L2 + M2
                ),
                IF(M2 &gt;= 'Order Side'!E3 -L2,
                    'Order Side'!E3 -L2,
                    M2
                )
            ),
            IF(L2&lt;0,
                IF( M2 &gt;= 'Order Side'!E3 -L2,
                    'Order Side'!E3 -L2,
                    M2
                ),
                IF(L2+M2 &gt; 'Order Side'!E3,
                    'Order Side'!E3,
                    L2+M2
                )
            )
        )
    ),
)</f>
        <v>0</v>
      </c>
      <c r="L3" s="1">
        <f>M2+L2-'Order Side'!E3</f>
        <v>15</v>
      </c>
      <c r="M3" s="1">
        <f t="shared" ref="M3:M51" si="4">N2</f>
        <v>5</v>
      </c>
      <c r="N3" s="1">
        <f>'Order Side'!F3</f>
        <v>0</v>
      </c>
    </row>
    <row r="4" spans="1:27" x14ac:dyDescent="0.25">
      <c r="A4" s="2">
        <f t="shared" si="0"/>
        <v>3</v>
      </c>
      <c r="B4" s="1">
        <f>IF('Order Side'!G4,
    IF('Order Side'!B4 &lt;= C3,
        'Order Side'!B4,
        IF(I4&lt;0,
            IF(C3&gt;0,
                IF(C3+D3 &gt; 'Order Side'!B4,
                    'Order Side'!B4,
                    C3 + D3
                ),
                IF(D3 &gt;= 'Order Side'!B4 -C3,
                    'Order Side'!B4 -C3,
                    D3
                )
            ),
            IF(C3&lt;0,
                IF( D3 &gt;= 'Order Side'!B4 -C3,
                    'Order Side'!B4 -C3,
                    D3
                ),
                IF(C3+D3 &gt; 'Order Side'!B4,
                    'Order Side'!B4,
                    C3+D3
                )
            )
        )
    ),
)</f>
        <v>5</v>
      </c>
      <c r="C4" s="1">
        <f>D3+C3-'Order Side'!B4</f>
        <v>10</v>
      </c>
      <c r="D4" s="1">
        <f t="shared" si="1"/>
        <v>0</v>
      </c>
      <c r="E4" s="1">
        <f>IF('Order Side'!G4,
    IF('Order Side'!C4 &lt;= F3,
        'Order Side'!C4,
        IF(I4&lt;0,
            IF(F3&gt;0,
                IF(F3+G3 &gt; 'Order Side'!C4,
                    'Order Side'!C4,
                    F3 + G3
                ),
                IF(G3 &gt;= 'Order Side'!C4 -F3,
                    'Order Side'!C4 -F3,
                    G3
                )
            ),
            IF(F3&lt;0,
                IF( G3 &gt;= 'Order Side'!C4 -F3,
                    'Order Side'!C4 -F3,
                    G3
                ),
                IF(F3+G3 &gt; 'Order Side'!C4,
                    'Order Side'!C4,
                    F3+G3
                )
            )
        )
    ),
)</f>
        <v>0</v>
      </c>
      <c r="F4" s="1">
        <f>G3+F3-'Order Side'!C4</f>
        <v>20</v>
      </c>
      <c r="G4" s="1">
        <f t="shared" si="2"/>
        <v>0</v>
      </c>
      <c r="H4" s="1">
        <f>IF('Order Side'!G4,
    IF('Order Side'!D4 &lt;= I3,
        'Order Side'!D4,
        IF(I4&lt;0,
            IF(I3&gt;0,
                IF(I3+J3 &gt; 'Order Side'!D4,
                    'Order Side'!D4,
                    I3 + J3
                ),
                IF(J3 &gt;= 'Order Side'!D4 -I3,
                    'Order Side'!D4 -I3,
                    J3
                )
            ),
            IF(I3&lt;0,
                IF( J3 &gt;= 'Order Side'!D4 -I3,
                    'Order Side'!D4 -I3,
                    J3
                ),
                IF(I3+J3 &gt; 'Order Side'!D4,
                    'Order Side'!D4,
                    I3+J3
                )
            )
        )
    ),
)</f>
        <v>0</v>
      </c>
      <c r="I4" s="1">
        <f>J3+I3-'Order Side'!D4</f>
        <v>20</v>
      </c>
      <c r="J4" s="1">
        <f t="shared" si="3"/>
        <v>0</v>
      </c>
      <c r="K4" s="1">
        <f>IF('Order Side'!G4,
    IF('Order Side'!E4 &lt;= L3,
        'Order Side'!E4,
        IF(L4&lt;0,
            IF(L3&gt;0,
                IF(L3+M3 &gt; 'Order Side'!E4,
                    'Order Side'!E4,
                    L3 + M3
                ),
                IF(M3 &gt;= 'Order Side'!E4 -L3,
                    'Order Side'!E4 -L3,
                    M3
                )
            ),
            IF(L3&lt;0,
                IF( M3 &gt;= 'Order Side'!E4 -L3,
                    'Order Side'!E4 -L3,
                    M3
                ),
                IF(L3+M3 &gt; 'Order Side'!E4,
                    'Order Side'!E4,
                    L3+M3
                )
            )
        )
    ),
)</f>
        <v>0</v>
      </c>
      <c r="L4" s="1">
        <f>M3+L3-'Order Side'!E4</f>
        <v>20</v>
      </c>
      <c r="M4" s="1">
        <f t="shared" si="4"/>
        <v>0</v>
      </c>
      <c r="N4" s="1">
        <f>'Order Side'!F4</f>
        <v>0</v>
      </c>
    </row>
    <row r="5" spans="1:27" x14ac:dyDescent="0.25">
      <c r="A5" s="2">
        <f t="shared" si="0"/>
        <v>4</v>
      </c>
      <c r="B5" s="1">
        <f>IF('Order Side'!G5,
    IF('Order Side'!B5 &lt;= C4,
        'Order Side'!B5,
        IF(I5&lt;0,
            IF(C4&gt;0,
                IF(C4+D4 &gt; 'Order Side'!B5,
                    'Order Side'!B5,
                    C4 + D4
                ),
                IF(D4 &gt;= 'Order Side'!B5 -C4,
                    'Order Side'!B5 -C4,
                    D4
                )
            ),
            IF(C4&lt;0,
                IF( D4 &gt;= 'Order Side'!B5 -C4,
                    'Order Side'!B5 -C4,
                    D4
                ),
                IF(C4+D4 &gt; 'Order Side'!B5,
                    'Order Side'!B5,
                    C4+D4
                )
            )
        )
    ),
)</f>
        <v>5</v>
      </c>
      <c r="C5" s="1">
        <f>D4+C4-'Order Side'!B5</f>
        <v>5</v>
      </c>
      <c r="D5" s="1">
        <f t="shared" si="1"/>
        <v>0</v>
      </c>
      <c r="E5" s="1">
        <f>IF('Order Side'!G5,
    IF('Order Side'!C5 &lt;= F4,
        'Order Side'!C5,
        IF(I5&lt;0,
            IF(F4&gt;0,
                IF(F4+G4 &gt; 'Order Side'!C5,
                    'Order Side'!C5,
                    F4 + G4
                ),
                IF(G4 &gt;= 'Order Side'!C5 -F4,
                    'Order Side'!C5 -F4,
                    G4
                )
            ),
            IF(F4&lt;0,
                IF( G4 &gt;= 'Order Side'!C5 -F4,
                    'Order Side'!C5 -F4,
                    G4
                ),
                IF(F4+G4 &gt; 'Order Side'!C5,
                    'Order Side'!C5,
                    F4+G4
                )
            )
        )
    ),
)</f>
        <v>0</v>
      </c>
      <c r="F5" s="1">
        <f>G4+F4-'Order Side'!C5</f>
        <v>20</v>
      </c>
      <c r="G5" s="1">
        <f t="shared" si="2"/>
        <v>0</v>
      </c>
      <c r="H5" s="1">
        <f>IF('Order Side'!G5,
    IF('Order Side'!D5 &lt;= I4,
        'Order Side'!D5,
        IF(I5&lt;0,
            IF(I4&gt;0,
                IF(I4+J4 &gt; 'Order Side'!D5,
                    'Order Side'!D5,
                    I4 + J4
                ),
                IF(J4 &gt;= 'Order Side'!D5 -I4,
                    'Order Side'!D5 -I4,
                    J4
                )
            ),
            IF(I4&lt;0,
                IF( J4 &gt;= 'Order Side'!D5 -I4,
                    'Order Side'!D5 -I4,
                    J4
                ),
                IF(I4+J4 &gt; 'Order Side'!D5,
                    'Order Side'!D5,
                    I4+J4
                )
            )
        )
    ),
)</f>
        <v>0</v>
      </c>
      <c r="I5" s="1">
        <f>J4+I4-'Order Side'!D5</f>
        <v>20</v>
      </c>
      <c r="J5" s="1">
        <f t="shared" si="3"/>
        <v>0</v>
      </c>
      <c r="K5" s="1">
        <f>IF('Order Side'!G5,
    IF('Order Side'!E5 &lt;= L4,
        'Order Side'!E5,
        IF(L5&lt;0,
            IF(L4&gt;0,
                IF(L4+M4 &gt; 'Order Side'!E5,
                    'Order Side'!E5,
                    L4 + M4
                ),
                IF(M4 &gt;= 'Order Side'!E5 -L4,
                    'Order Side'!E5 -L4,
                    M4
                )
            ),
            IF(L4&lt;0,
                IF( M4 &gt;= 'Order Side'!E5 -L4,
                    'Order Side'!E5 -L4,
                    M4
                ),
                IF(L4+M4 &gt; 'Order Side'!E5,
                    'Order Side'!E5,
                    L4+M4
                )
            )
        )
    ),
)</f>
        <v>0</v>
      </c>
      <c r="L5" s="1">
        <f>M4+L4-'Order Side'!E5</f>
        <v>20</v>
      </c>
      <c r="M5" s="1">
        <f t="shared" si="4"/>
        <v>0</v>
      </c>
      <c r="N5" s="1">
        <f>'Order Side'!F5</f>
        <v>0</v>
      </c>
    </row>
    <row r="6" spans="1:27" x14ac:dyDescent="0.25">
      <c r="A6" s="2">
        <f t="shared" si="0"/>
        <v>5</v>
      </c>
      <c r="B6" s="1">
        <f>IF('Order Side'!G6,
    IF('Order Side'!B6 &lt;= C5,
        'Order Side'!B6,
        IF(I6&lt;0,
            IF(C5&gt;0,
                IF(C5+D5 &gt; 'Order Side'!B6,
                    'Order Side'!B6,
                    C5 + D5
                ),
                IF(D5 &gt;= 'Order Side'!B6 -C5,
                    'Order Side'!B6 -C5,
                    D5
                )
            ),
            IF(C5&lt;0,
                IF( D5 &gt;= 'Order Side'!B6 -C5,
                    'Order Side'!B6 -C5,
                    D5
                ),
                IF(C5+D5 &gt; 'Order Side'!B6,
                    'Order Side'!B6,
                    C5+D5
                )
            )
        )
    ),
)</f>
        <v>5</v>
      </c>
      <c r="C6" s="1">
        <f>D5+C5-'Order Side'!B6</f>
        <v>0</v>
      </c>
      <c r="D6" s="1">
        <f t="shared" si="1"/>
        <v>0</v>
      </c>
      <c r="E6" s="1">
        <f>IF('Order Side'!G6,
    IF('Order Side'!C6 &lt;= F5,
        'Order Side'!C6,
        IF(I6&lt;0,
            IF(F5&gt;0,
                IF(F5+G5 &gt; 'Order Side'!C6,
                    'Order Side'!C6,
                    F5 + G5
                ),
                IF(G5 &gt;= 'Order Side'!C6 -F5,
                    'Order Side'!C6 -F5,
                    G5
                )
            ),
            IF(F5&lt;0,
                IF( G5 &gt;= 'Order Side'!C6 -F5,
                    'Order Side'!C6 -F5,
                    G5
                ),
                IF(F5+G5 &gt; 'Order Side'!C6,
                    'Order Side'!C6,
                    F5+G5
                )
            )
        )
    ),
)</f>
        <v>0</v>
      </c>
      <c r="F6" s="1">
        <f>G5+F5-'Order Side'!C6</f>
        <v>20</v>
      </c>
      <c r="G6" s="1">
        <f t="shared" si="2"/>
        <v>0</v>
      </c>
      <c r="H6" s="1">
        <f>IF('Order Side'!G6,
    IF('Order Side'!D6 &lt;= I5,
        'Order Side'!D6,
        IF(I6&lt;0,
            IF(I5&gt;0,
                IF(I5+J5 &gt; 'Order Side'!D6,
                    'Order Side'!D6,
                    I5 + J5
                ),
                IF(J5 &gt;= 'Order Side'!D6 -I5,
                    'Order Side'!D6 -I5,
                    J5
                )
            ),
            IF(I5&lt;0,
                IF( J5 &gt;= 'Order Side'!D6 -I5,
                    'Order Side'!D6 -I5,
                    J5
                ),
                IF(I5+J5 &gt; 'Order Side'!D6,
                    'Order Side'!D6,
                    I5+J5
                )
            )
        )
    ),
)</f>
        <v>0</v>
      </c>
      <c r="I6" s="1">
        <f>J5+I5-'Order Side'!D6</f>
        <v>20</v>
      </c>
      <c r="J6" s="1">
        <f t="shared" si="3"/>
        <v>0</v>
      </c>
      <c r="K6" s="1">
        <f>IF('Order Side'!G6,
    IF('Order Side'!E6 &lt;= L5,
        'Order Side'!E6,
        IF(L6&lt;0,
            IF(L5&gt;0,
                IF(L5+M5 &gt; 'Order Side'!E6,
                    'Order Side'!E6,
                    L5 + M5
                ),
                IF(M5 &gt;= 'Order Side'!E6 -L5,
                    'Order Side'!E6 -L5,
                    M5
                )
            ),
            IF(L5&lt;0,
                IF( M5 &gt;= 'Order Side'!E6 -L5,
                    'Order Side'!E6 -L5,
                    M5
                ),
                IF(L5+M5 &gt; 'Order Side'!E6,
                    'Order Side'!E6,
                    L5+M5
                )
            )
        )
    ),
)</f>
        <v>0</v>
      </c>
      <c r="L6" s="1">
        <f>M5+L5-'Order Side'!E6</f>
        <v>20</v>
      </c>
      <c r="M6" s="1">
        <f t="shared" si="4"/>
        <v>0</v>
      </c>
      <c r="N6" s="1">
        <f>'Order Side'!F6</f>
        <v>0</v>
      </c>
    </row>
    <row r="7" spans="1:27" x14ac:dyDescent="0.25">
      <c r="A7" s="2">
        <f t="shared" si="0"/>
        <v>6</v>
      </c>
      <c r="B7" s="1">
        <f>IF('Order Side'!G7,
    IF('Order Side'!B7 &lt;= C6,
        'Order Side'!B7,
        IF(I7&lt;0,
            IF(C6&gt;0,
                IF(C6+D6 &gt; 'Order Side'!B7,
                    'Order Side'!B7,
                    C6 + D6
                ),
                IF(D6 &gt;= 'Order Side'!B7 -C6,
                    'Order Side'!B7 -C6,
                    D6
                )
            ),
            IF(C6&lt;0,
                IF( D6 &gt;= 'Order Side'!B7 -C6,
                    'Order Side'!B7 -C6,
                    D6
                ),
                IF(C6+D6 &gt; 'Order Side'!B7,
                    'Order Side'!B7,
                    C6+D6
                )
            )
        )
    ),
)</f>
        <v>0</v>
      </c>
      <c r="C7" s="1">
        <f>D6+C6-'Order Side'!B7</f>
        <v>-5</v>
      </c>
      <c r="D7" s="1">
        <f t="shared" si="1"/>
        <v>0</v>
      </c>
      <c r="E7" s="1">
        <f>IF('Order Side'!G7,
    IF('Order Side'!C7 &lt;= F6,
        'Order Side'!C7,
        IF(I7&lt;0,
            IF(F6&gt;0,
                IF(F6+G6 &gt; 'Order Side'!C7,
                    'Order Side'!C7,
                    F6 + G6
                ),
                IF(G6 &gt;= 'Order Side'!C7 -F6,
                    'Order Side'!C7 -F6,
                    G6
                )
            ),
            IF(F6&lt;0,
                IF( G6 &gt;= 'Order Side'!C7 -F6,
                    'Order Side'!C7 -F6,
                    G6
                ),
                IF(F6+G6 &gt; 'Order Side'!C7,
                    'Order Side'!C7,
                    F6+G6
                )
            )
        )
    ),
)</f>
        <v>0</v>
      </c>
      <c r="F7" s="1">
        <f>G6+F6-'Order Side'!C7</f>
        <v>20</v>
      </c>
      <c r="G7" s="1">
        <f t="shared" si="2"/>
        <v>0</v>
      </c>
      <c r="H7" s="1">
        <f>IF('Order Side'!G7,
    IF('Order Side'!D7 &lt;= I6,
        'Order Side'!D7,
        IF(I7&lt;0,
            IF(I6&gt;0,
                IF(I6+J6 &gt; 'Order Side'!D7,
                    'Order Side'!D7,
                    I6 + J6
                ),
                IF(J6 &gt;= 'Order Side'!D7 -I6,
                    'Order Side'!D7 -I6,
                    J6
                )
            ),
            IF(I6&lt;0,
                IF( J6 &gt;= 'Order Side'!D7 -I6,
                    'Order Side'!D7 -I6,
                    J6
                ),
                IF(I6+J6 &gt; 'Order Side'!D7,
                    'Order Side'!D7,
                    I6+J6
                )
            )
        )
    ),
)</f>
        <v>0</v>
      </c>
      <c r="I7" s="1">
        <f>J6+I6-'Order Side'!D7</f>
        <v>20</v>
      </c>
      <c r="J7" s="1">
        <f t="shared" si="3"/>
        <v>0</v>
      </c>
      <c r="K7" s="1">
        <f>IF('Order Side'!G7,
    IF('Order Side'!E7 &lt;= L6,
        'Order Side'!E7,
        IF(L7&lt;0,
            IF(L6&gt;0,
                IF(L6+M6 &gt; 'Order Side'!E7,
                    'Order Side'!E7,
                    L6 + M6
                ),
                IF(M6 &gt;= 'Order Side'!E7 -L6,
                    'Order Side'!E7 -L6,
                    M6
                )
            ),
            IF(L6&lt;0,
                IF( M6 &gt;= 'Order Side'!E7 -L6,
                    'Order Side'!E7 -L6,
                    M6
                ),
                IF(L6+M6 &gt; 'Order Side'!E7,
                    'Order Side'!E7,
                    L6+M6
                )
            )
        )
    ),
)</f>
        <v>0</v>
      </c>
      <c r="L7" s="1">
        <f>M6+L6-'Order Side'!E7</f>
        <v>20</v>
      </c>
      <c r="M7" s="1">
        <f t="shared" si="4"/>
        <v>0</v>
      </c>
      <c r="N7" s="1">
        <f>'Order Side'!F7</f>
        <v>0</v>
      </c>
    </row>
    <row r="8" spans="1:27" x14ac:dyDescent="0.25">
      <c r="A8" s="2">
        <f t="shared" si="0"/>
        <v>7</v>
      </c>
      <c r="B8" s="1">
        <f>IF('Order Side'!G8,
    IF('Order Side'!B8 &lt;= C7,
        'Order Side'!B8,
        IF(I8&lt;0,
            IF(C7&gt;0,
                IF(C7+D7 &gt; 'Order Side'!B8,
                    'Order Side'!B8,
                    C7 + D7
                ),
                IF(D7 &gt;= 'Order Side'!B8 -C7,
                    'Order Side'!B8 -C7,
                    D7
                )
            ),
            IF(C7&lt;0,
                IF( D7 &gt;= 'Order Side'!B8 -C7,
                    'Order Side'!B8 -C7,
                    D7
                ),
                IF(C7+D7 &gt; 'Order Side'!B8,
                    'Order Side'!B8,
                    C7+D7
                )
            )
        )
    ),
)</f>
        <v>0</v>
      </c>
      <c r="C8" s="1">
        <f>D7+C7-'Order Side'!B8</f>
        <v>-10</v>
      </c>
      <c r="D8" s="1">
        <f t="shared" si="1"/>
        <v>0</v>
      </c>
      <c r="E8" s="1">
        <f>IF('Order Side'!G8,
    IF('Order Side'!C8 &lt;= F7,
        'Order Side'!C8,
        IF(I8&lt;0,
            IF(F7&gt;0,
                IF(F7+G7 &gt; 'Order Side'!C8,
                    'Order Side'!C8,
                    F7 + G7
                ),
                IF(G7 &gt;= 'Order Side'!C8 -F7,
                    'Order Side'!C8 -F7,
                    G7
                )
            ),
            IF(F7&lt;0,
                IF( G7 &gt;= 'Order Side'!C8 -F7,
                    'Order Side'!C8 -F7,
                    G7
                ),
                IF(F7+G7 &gt; 'Order Side'!C8,
                    'Order Side'!C8,
                    F7+G7
                )
            )
        )
    ),
)</f>
        <v>0</v>
      </c>
      <c r="F8" s="1">
        <f>G7+F7-'Order Side'!C8</f>
        <v>20</v>
      </c>
      <c r="G8" s="1">
        <f t="shared" si="2"/>
        <v>0</v>
      </c>
      <c r="H8" s="1">
        <f>IF('Order Side'!G8,
    IF('Order Side'!D8 &lt;= I7,
        'Order Side'!D8,
        IF(I8&lt;0,
            IF(I7&gt;0,
                IF(I7+J7 &gt; 'Order Side'!D8,
                    'Order Side'!D8,
                    I7 + J7
                ),
                IF(J7 &gt;= 'Order Side'!D8 -I7,
                    'Order Side'!D8 -I7,
                    J7
                )
            ),
            IF(I7&lt;0,
                IF( J7 &gt;= 'Order Side'!D8 -I7,
                    'Order Side'!D8 -I7,
                    J7
                ),
                IF(I7+J7 &gt; 'Order Side'!D8,
                    'Order Side'!D8,
                    I7+J7
                )
            )
        )
    ),
)</f>
        <v>0</v>
      </c>
      <c r="I8" s="1">
        <f>J7+I7-'Order Side'!D8</f>
        <v>20</v>
      </c>
      <c r="J8" s="1">
        <f t="shared" si="3"/>
        <v>0</v>
      </c>
      <c r="K8" s="1">
        <f>IF('Order Side'!G8,
    IF('Order Side'!E8 &lt;= L7,
        'Order Side'!E8,
        IF(L8&lt;0,
            IF(L7&gt;0,
                IF(L7+M7 &gt; 'Order Side'!E8,
                    'Order Side'!E8,
                    L7 + M7
                ),
                IF(M7 &gt;= 'Order Side'!E8 -L7,
                    'Order Side'!E8 -L7,
                    M7
                )
            ),
            IF(L7&lt;0,
                IF( M7 &gt;= 'Order Side'!E8 -L7,
                    'Order Side'!E8 -L7,
                    M7
                ),
                IF(L7+M7 &gt; 'Order Side'!E8,
                    'Order Side'!E8,
                    L7+M7
                )
            )
        )
    ),
)</f>
        <v>0</v>
      </c>
      <c r="L8" s="1">
        <f>M7+L7-'Order Side'!E8</f>
        <v>20</v>
      </c>
      <c r="M8" s="1">
        <f t="shared" si="4"/>
        <v>0</v>
      </c>
      <c r="N8" s="1">
        <f>'Order Side'!F8</f>
        <v>0</v>
      </c>
    </row>
    <row r="9" spans="1:27" x14ac:dyDescent="0.25">
      <c r="A9" s="2">
        <f t="shared" si="0"/>
        <v>8</v>
      </c>
      <c r="B9" s="1">
        <f>IF('Order Side'!G9,
    IF('Order Side'!B9 &lt;= C8,
        'Order Side'!B9,
        IF(I9&lt;0,
            IF(C8&gt;0,
                IF(C8+D8 &gt; 'Order Side'!B9,
                    'Order Side'!B9,
                    C8 + D8
                ),
                IF(D8 &gt;= 'Order Side'!B9 -C8,
                    'Order Side'!B9 -C8,
                    D8
                )
            ),
            IF(C8&lt;0,
                IF( D8 &gt;= 'Order Side'!B9 -C8,
                    'Order Side'!B9 -C8,
                    D8
                ),
                IF(C8+D8 &gt; 'Order Side'!B9,
                    'Order Side'!B9,
                    C8+D8
                )
            )
        )
    ),
)</f>
        <v>0</v>
      </c>
      <c r="C9" s="1">
        <f>D8+C8-'Order Side'!B9</f>
        <v>-15</v>
      </c>
      <c r="D9" s="1">
        <f t="shared" si="1"/>
        <v>0</v>
      </c>
      <c r="E9" s="1">
        <f>IF('Order Side'!G9,
    IF('Order Side'!C9 &lt;= F8,
        'Order Side'!C9,
        IF(I9&lt;0,
            IF(F8&gt;0,
                IF(F8+G8 &gt; 'Order Side'!C9,
                    'Order Side'!C9,
                    F8 + G8
                ),
                IF(G8 &gt;= 'Order Side'!C9 -F8,
                    'Order Side'!C9 -F8,
                    G8
                )
            ),
            IF(F8&lt;0,
                IF( G8 &gt;= 'Order Side'!C9 -F8,
                    'Order Side'!C9 -F8,
                    G8
                ),
                IF(F8+G8 &gt; 'Order Side'!C9,
                    'Order Side'!C9,
                    F8+G8
                )
            )
        )
    ),
)</f>
        <v>0</v>
      </c>
      <c r="F9" s="1">
        <f>G8+F8-'Order Side'!C9</f>
        <v>20</v>
      </c>
      <c r="G9" s="1">
        <f t="shared" si="2"/>
        <v>0</v>
      </c>
      <c r="H9" s="1">
        <f>IF('Order Side'!G9,
    IF('Order Side'!D9 &lt;= I8,
        'Order Side'!D9,
        IF(I9&lt;0,
            IF(I8&gt;0,
                IF(I8+J8 &gt; 'Order Side'!D9,
                    'Order Side'!D9,
                    I8 + J8
                ),
                IF(J8 &gt;= 'Order Side'!D9 -I8,
                    'Order Side'!D9 -I8,
                    J8
                )
            ),
            IF(I8&lt;0,
                IF( J8 &gt;= 'Order Side'!D9 -I8,
                    'Order Side'!D9 -I8,
                    J8
                ),
                IF(I8+J8 &gt; 'Order Side'!D9,
                    'Order Side'!D9,
                    I8+J8
                )
            )
        )
    ),
)</f>
        <v>0</v>
      </c>
      <c r="I9" s="1">
        <f>J8+I8-'Order Side'!D9</f>
        <v>20</v>
      </c>
      <c r="J9" s="1">
        <f t="shared" si="3"/>
        <v>0</v>
      </c>
      <c r="K9" s="1">
        <f>IF('Order Side'!G9,
    IF('Order Side'!E9 &lt;= L8,
        'Order Side'!E9,
        IF(L9&lt;0,
            IF(L8&gt;0,
                IF(L8+M8 &gt; 'Order Side'!E9,
                    'Order Side'!E9,
                    L8 + M8
                ),
                IF(M8 &gt;= 'Order Side'!E9 -L8,
                    'Order Side'!E9 -L8,
                    M8
                )
            ),
            IF(L8&lt;0,
                IF( M8 &gt;= 'Order Side'!E9 -L8,
                    'Order Side'!E9 -L8,
                    M8
                ),
                IF(L8+M8 &gt; 'Order Side'!E9,
                    'Order Side'!E9,
                    L8+M8
                )
            )
        )
    ),
)</f>
        <v>0</v>
      </c>
      <c r="L9" s="1">
        <f>M8+L8-'Order Side'!E9</f>
        <v>20</v>
      </c>
      <c r="M9" s="1">
        <f t="shared" si="4"/>
        <v>0</v>
      </c>
      <c r="N9" s="1">
        <f>'Order Side'!F9</f>
        <v>0</v>
      </c>
    </row>
    <row r="10" spans="1:27" x14ac:dyDescent="0.25">
      <c r="A10" s="2">
        <f t="shared" si="0"/>
        <v>9</v>
      </c>
      <c r="B10" s="1">
        <f>IF('Order Side'!G10,
    IF('Order Side'!B10 &lt;= C9,
        'Order Side'!B10,
        IF(I10&lt;0,
            IF(C9&gt;0,
                IF(C9+D9 &gt; 'Order Side'!B10,
                    'Order Side'!B10,
                    C9 + D9
                ),
                IF(D9 &gt;= 'Order Side'!B10 -C9,
                    'Order Side'!B10 -C9,
                    D9
                )
            ),
            IF(C9&lt;0,
                IF( D9 &gt;= 'Order Side'!B10 -C9,
                    'Order Side'!B10 -C9,
                    D9
                ),
                IF(C9+D9 &gt; 'Order Side'!B10,
                    'Order Side'!B10,
                    C9+D9
                )
            )
        )
    ),
)</f>
        <v>0</v>
      </c>
      <c r="C10" s="1">
        <f>D9+C9-'Order Side'!B10</f>
        <v>-20</v>
      </c>
      <c r="D10" s="1">
        <f t="shared" si="1"/>
        <v>0</v>
      </c>
      <c r="E10" s="1">
        <f>IF('Order Side'!G10,
    IF('Order Side'!C10 &lt;= F9,
        'Order Side'!C10,
        IF(I10&lt;0,
            IF(F9&gt;0,
                IF(F9+G9 &gt; 'Order Side'!C10,
                    'Order Side'!C10,
                    F9 + G9
                ),
                IF(G9 &gt;= 'Order Side'!C10 -F9,
                    'Order Side'!C10 -F9,
                    G9
                )
            ),
            IF(F9&lt;0,
                IF( G9 &gt;= 'Order Side'!C10 -F9,
                    'Order Side'!C10 -F9,
                    G9
                ),
                IF(F9+G9 &gt; 'Order Side'!C10,
                    'Order Side'!C10,
                    F9+G9
                )
            )
        )
    ),
)</f>
        <v>0</v>
      </c>
      <c r="F10" s="1">
        <f>G9+F9-'Order Side'!C10</f>
        <v>20</v>
      </c>
      <c r="G10" s="1">
        <f t="shared" si="2"/>
        <v>0</v>
      </c>
      <c r="H10" s="1">
        <f>IF('Order Side'!G10,
    IF('Order Side'!D10 &lt;= I9,
        'Order Side'!D10,
        IF(I10&lt;0,
            IF(I9&gt;0,
                IF(I9+J9 &gt; 'Order Side'!D10,
                    'Order Side'!D10,
                    I9 + J9
                ),
                IF(J9 &gt;= 'Order Side'!D10 -I9,
                    'Order Side'!D10 -I9,
                    J9
                )
            ),
            IF(I9&lt;0,
                IF( J9 &gt;= 'Order Side'!D10 -I9,
                    'Order Side'!D10 -I9,
                    J9
                ),
                IF(I9+J9 &gt; 'Order Side'!D10,
                    'Order Side'!D10,
                    I9+J9
                )
            )
        )
    ),
)</f>
        <v>0</v>
      </c>
      <c r="I10" s="1">
        <f>J9+I9-'Order Side'!D10</f>
        <v>20</v>
      </c>
      <c r="J10" s="1">
        <f t="shared" si="3"/>
        <v>0</v>
      </c>
      <c r="K10" s="1">
        <f>IF('Order Side'!G10,
    IF('Order Side'!E10 &lt;= L9,
        'Order Side'!E10,
        IF(L10&lt;0,
            IF(L9&gt;0,
                IF(L9+M9 &gt; 'Order Side'!E10,
                    'Order Side'!E10,
                    L9 + M9
                ),
                IF(M9 &gt;= 'Order Side'!E10 -L9,
                    'Order Side'!E10 -L9,
                    M9
                )
            ),
            IF(L9&lt;0,
                IF( M9 &gt;= 'Order Side'!E10 -L9,
                    'Order Side'!E10 -L9,
                    M9
                ),
                IF(L9+M9 &gt; 'Order Side'!E10,
                    'Order Side'!E10,
                    L9+M9
                )
            )
        )
    ),
)</f>
        <v>0</v>
      </c>
      <c r="L10" s="1">
        <f>M9+L9-'Order Side'!E10</f>
        <v>20</v>
      </c>
      <c r="M10" s="1">
        <f t="shared" si="4"/>
        <v>0</v>
      </c>
      <c r="N10" s="1">
        <f>'Order Side'!F10</f>
        <v>0</v>
      </c>
    </row>
    <row r="11" spans="1:27" x14ac:dyDescent="0.25">
      <c r="A11" s="2">
        <f t="shared" si="0"/>
        <v>10</v>
      </c>
      <c r="B11" s="1">
        <f>IF('Order Side'!G11,
    IF('Order Side'!B11 &lt;= C10,
        'Order Side'!B11,
        IF(I11&lt;0,
            IF(C10&gt;0,
                IF(C10+D10 &gt; 'Order Side'!B11,
                    'Order Side'!B11,
                    C10 + D10
                ),
                IF(D10 &gt;= 'Order Side'!B11 -C10,
                    'Order Side'!B11 -C10,
                    D10
                )
            ),
            IF(C10&lt;0,
                IF( D10 &gt;= 'Order Side'!B11 -C10,
                    'Order Side'!B11 -C10,
                    D10
                ),
                IF(C10+D10 &gt; 'Order Side'!B11,
                    'Order Side'!B11,
                    C10+D10
                )
            )
        )
    ),
)</f>
        <v>0</v>
      </c>
      <c r="C11" s="1">
        <f>D10+C10-'Order Side'!B11</f>
        <v>-25</v>
      </c>
      <c r="D11" s="1">
        <f t="shared" si="1"/>
        <v>0</v>
      </c>
      <c r="E11" s="1">
        <f>IF('Order Side'!G11,
    IF('Order Side'!C11 &lt;= F10,
        'Order Side'!C11,
        IF(I11&lt;0,
            IF(F10&gt;0,
                IF(F10+G10 &gt; 'Order Side'!C11,
                    'Order Side'!C11,
                    F10 + G10
                ),
                IF(G10 &gt;= 'Order Side'!C11 -F10,
                    'Order Side'!C11 -F10,
                    G10
                )
            ),
            IF(F10&lt;0,
                IF( G10 &gt;= 'Order Side'!C11 -F10,
                    'Order Side'!C11 -F10,
                    G10
                ),
                IF(F10+G10 &gt; 'Order Side'!C11,
                    'Order Side'!C11,
                    F10+G10
                )
            )
        )
    ),
)</f>
        <v>0</v>
      </c>
      <c r="F11" s="1">
        <f>G10+F10-'Order Side'!C11</f>
        <v>20</v>
      </c>
      <c r="G11" s="1">
        <f t="shared" si="2"/>
        <v>0</v>
      </c>
      <c r="H11" s="1">
        <f>IF('Order Side'!G11,
    IF('Order Side'!D11 &lt;= I10,
        'Order Side'!D11,
        IF(I11&lt;0,
            IF(I10&gt;0,
                IF(I10+J10 &gt; 'Order Side'!D11,
                    'Order Side'!D11,
                    I10 + J10
                ),
                IF(J10 &gt;= 'Order Side'!D11 -I10,
                    'Order Side'!D11 -I10,
                    J10
                )
            ),
            IF(I10&lt;0,
                IF( J10 &gt;= 'Order Side'!D11 -I10,
                    'Order Side'!D11 -I10,
                    J10
                ),
                IF(I10+J10 &gt; 'Order Side'!D11,
                    'Order Side'!D11,
                    I10+J10
                )
            )
        )
    ),
)</f>
        <v>0</v>
      </c>
      <c r="I11" s="1">
        <f>J10+I10-'Order Side'!D11</f>
        <v>20</v>
      </c>
      <c r="J11" s="1">
        <f t="shared" si="3"/>
        <v>0</v>
      </c>
      <c r="K11" s="1">
        <f>IF('Order Side'!G11,
    IF('Order Side'!E11 &lt;= L10,
        'Order Side'!E11,
        IF(L11&lt;0,
            IF(L10&gt;0,
                IF(L10+M10 &gt; 'Order Side'!E11,
                    'Order Side'!E11,
                    L10 + M10
                ),
                IF(M10 &gt;= 'Order Side'!E11 -L10,
                    'Order Side'!E11 -L10,
                    M10
                )
            ),
            IF(L10&lt;0,
                IF( M10 &gt;= 'Order Side'!E11 -L10,
                    'Order Side'!E11 -L10,
                    M10
                ),
                IF(L10+M10 &gt; 'Order Side'!E11,
                    'Order Side'!E11,
                    L10+M10
                )
            )
        )
    ),
)</f>
        <v>0</v>
      </c>
      <c r="L11" s="1">
        <f>M10+L10-'Order Side'!E11</f>
        <v>20</v>
      </c>
      <c r="M11" s="1">
        <f t="shared" si="4"/>
        <v>0</v>
      </c>
      <c r="N11" s="1">
        <f>'Order Side'!F11</f>
        <v>0</v>
      </c>
    </row>
    <row r="12" spans="1:27" x14ac:dyDescent="0.25">
      <c r="A12" s="2">
        <f t="shared" si="0"/>
        <v>11</v>
      </c>
      <c r="B12" s="1">
        <f ca="1">IF('Order Side'!G12,
    IF('Order Side'!B12 &lt;= C11,
        'Order Side'!B12,
        IF(I12&lt;0,
            IF(C11&gt;0,
                IF(C11+D11 &gt; 'Order Side'!B12,
                    'Order Side'!B12,
                    C11 + D11
                ),
                IF(D11 &gt;= 'Order Side'!B12 -C11,
                    'Order Side'!B12 -C11,
                    D11
                )
            ),
            IF(C11&lt;0,
                IF( D11 &gt;= 'Order Side'!B12 -C11,
                    'Order Side'!B12 -C11,
                    D11
                ),
                IF(C11+D11 &gt; 'Order Side'!B12,
                    'Order Side'!B12,
                    C11+D11
                )
            )
        )
    ),
)</f>
        <v>0</v>
      </c>
      <c r="C12" s="4">
        <f ca="1">D11+C11-'Order Side'!B12</f>
        <v>-37</v>
      </c>
      <c r="D12" s="1">
        <f t="shared" si="1"/>
        <v>0</v>
      </c>
      <c r="E12" s="1">
        <f>IF('Order Side'!G12,
    IF('Order Side'!C12 &lt;= F11,
        'Order Side'!C12,
        IF(I12&lt;0,
            IF(F11&gt;0,
                IF(F11+G11 &gt; 'Order Side'!C12,
                    'Order Side'!C12,
                    F11 + G11
                ),
                IF(G11 &gt;= 'Order Side'!C12 -F11,
                    'Order Side'!C12 -F11,
                    G11
                )
            ),
            IF(F11&lt;0,
                IF( G11 &gt;= 'Order Side'!C12 -F11,
                    'Order Side'!C12 -F11,
                    G11
                ),
                IF(F11+G11 &gt; 'Order Side'!C12,
                    'Order Side'!C12,
                    F11+G11
                )
            )
        )
    ),
)</f>
        <v>0</v>
      </c>
      <c r="F12" s="1">
        <f>G11+F11-'Order Side'!C12</f>
        <v>20</v>
      </c>
      <c r="G12" s="1">
        <f t="shared" si="2"/>
        <v>0</v>
      </c>
      <c r="H12" s="1">
        <f>IF('Order Side'!G12,
    IF('Order Side'!D12 &lt;= I11,
        'Order Side'!D12,
        IF(I12&lt;0,
            IF(I11&gt;0,
                IF(I11+J11 &gt; 'Order Side'!D12,
                    'Order Side'!D12,
                    I11 + J11
                ),
                IF(J11 &gt;= 'Order Side'!D12 -I11,
                    'Order Side'!D12 -I11,
                    J11
                )
            ),
            IF(I11&lt;0,
                IF( J11 &gt;= 'Order Side'!D12 -I11,
                    'Order Side'!D12 -I11,
                    J11
                ),
                IF(I11+J11 &gt; 'Order Side'!D12,
                    'Order Side'!D12,
                    I11+J11
                )
            )
        )
    ),
)</f>
        <v>0</v>
      </c>
      <c r="I12" s="1">
        <f>J11+I11-'Order Side'!D12</f>
        <v>20</v>
      </c>
      <c r="J12" s="1">
        <f t="shared" si="3"/>
        <v>0</v>
      </c>
      <c r="K12" s="1">
        <f>IF('Order Side'!G12,
    IF('Order Side'!E12 &lt;= L11,
        'Order Side'!E12,
        IF(L12&lt;0,
            IF(L11&gt;0,
                IF(L11+M11 &gt; 'Order Side'!E12,
                    'Order Side'!E12,
                    L11 + M11
                ),
                IF(M11 &gt;= 'Order Side'!E12 -L11,
                    'Order Side'!E12 -L11,
                    M11
                )
            ),
            IF(L11&lt;0,
                IF( M11 &gt;= 'Order Side'!E12 -L11,
                    'Order Side'!E12 -L11,
                    M11
                ),
                IF(L11+M11 &gt; 'Order Side'!E12,
                    'Order Side'!E12,
                    L11+M11
                )
            )
        )
    ),
)</f>
        <v>0</v>
      </c>
      <c r="L12" s="1">
        <f>M11+L11-'Order Side'!E12</f>
        <v>20</v>
      </c>
      <c r="M12" s="1">
        <f t="shared" si="4"/>
        <v>0</v>
      </c>
      <c r="N12" s="1">
        <f>'Order Side'!F12</f>
        <v>0</v>
      </c>
    </row>
    <row r="13" spans="1:27" x14ac:dyDescent="0.25">
      <c r="A13" s="2">
        <f t="shared" si="0"/>
        <v>12</v>
      </c>
      <c r="B13" s="1">
        <f ca="1">IF('Order Side'!G13,
    IF('Order Side'!B13 &lt;= C12,
        'Order Side'!B13,
        IF(I13&lt;0,
            IF(C12&gt;0,
                IF(C12+D12 &gt; 'Order Side'!B13,
                    'Order Side'!B13,
                    C12 + D12
                ),
                IF(D12 &gt;= 'Order Side'!B13 -C12,
                    'Order Side'!B13 -C12,
                    D12
                )
            ),
            IF(C12&lt;0,
                IF( D12 &gt;= 'Order Side'!B13 -C12,
                    'Order Side'!B13 -C12,
                    D12
                ),
                IF(C12+D12 &gt; 'Order Side'!B13,
                    'Order Side'!B13,
                    C12+D12
                )
            )
        )
    ),
)</f>
        <v>0</v>
      </c>
      <c r="C13" s="4">
        <f ca="1">D12+C12-'Order Side'!B13</f>
        <v>-45</v>
      </c>
      <c r="D13" s="1">
        <f t="shared" si="1"/>
        <v>0</v>
      </c>
      <c r="E13" s="1">
        <f>IF('Order Side'!G13,
    IF('Order Side'!C13 &lt;= F12,
        'Order Side'!C13,
        IF(I13&lt;0,
            IF(F12&gt;0,
                IF(F12+G12 &gt; 'Order Side'!C13,
                    'Order Side'!C13,
                    F12 + G12
                ),
                IF(G12 &gt;= 'Order Side'!C13 -F12,
                    'Order Side'!C13 -F12,
                    G12
                )
            ),
            IF(F12&lt;0,
                IF( G12 &gt;= 'Order Side'!C13 -F12,
                    'Order Side'!C13 -F12,
                    G12
                ),
                IF(F12+G12 &gt; 'Order Side'!C13,
                    'Order Side'!C13,
                    F12+G12
                )
            )
        )
    ),
)</f>
        <v>0</v>
      </c>
      <c r="F13" s="1">
        <f>G12+F12-'Order Side'!C13</f>
        <v>20</v>
      </c>
      <c r="G13" s="1">
        <f t="shared" si="2"/>
        <v>0</v>
      </c>
      <c r="H13" s="1">
        <f>IF('Order Side'!G13,
    IF('Order Side'!D13 &lt;= I12,
        'Order Side'!D13,
        IF(I13&lt;0,
            IF(I12&gt;0,
                IF(I12+J12 &gt; 'Order Side'!D13,
                    'Order Side'!D13,
                    I12 + J12
                ),
                IF(J12 &gt;= 'Order Side'!D13 -I12,
                    'Order Side'!D13 -I12,
                    J12
                )
            ),
            IF(I12&lt;0,
                IF( J12 &gt;= 'Order Side'!D13 -I12,
                    'Order Side'!D13 -I12,
                    J12
                ),
                IF(I12+J12 &gt; 'Order Side'!D13,
                    'Order Side'!D13,
                    I12+J12
                )
            )
        )
    ),
)</f>
        <v>0</v>
      </c>
      <c r="I13" s="1">
        <f>J12+I12-'Order Side'!D13</f>
        <v>20</v>
      </c>
      <c r="J13" s="1">
        <f t="shared" si="3"/>
        <v>0</v>
      </c>
      <c r="K13" s="1">
        <f>IF('Order Side'!G13,
    IF('Order Side'!E13 &lt;= L12,
        'Order Side'!E13,
        IF(L13&lt;0,
            IF(L12&gt;0,
                IF(L12+M12 &gt; 'Order Side'!E13,
                    'Order Side'!E13,
                    L12 + M12
                ),
                IF(M12 &gt;= 'Order Side'!E13 -L12,
                    'Order Side'!E13 -L12,
                    M12
                )
            ),
            IF(L12&lt;0,
                IF( M12 &gt;= 'Order Side'!E13 -L12,
                    'Order Side'!E13 -L12,
                    M12
                ),
                IF(L12+M12 &gt; 'Order Side'!E13,
                    'Order Side'!E13,
                    L12+M12
                )
            )
        )
    ),
)</f>
        <v>0</v>
      </c>
      <c r="L13" s="1">
        <f>M12+L12-'Order Side'!E13</f>
        <v>20</v>
      </c>
      <c r="M13" s="1">
        <f t="shared" si="4"/>
        <v>0</v>
      </c>
      <c r="N13" s="1">
        <f>'Order Side'!F13</f>
        <v>0</v>
      </c>
    </row>
    <row r="14" spans="1:27" x14ac:dyDescent="0.25">
      <c r="A14" s="2">
        <f t="shared" si="0"/>
        <v>13</v>
      </c>
      <c r="B14" s="1">
        <f ca="1">IF('Order Side'!G14,
    IF('Order Side'!B14 &lt;= C13,
        'Order Side'!B14,
        IF(I14&lt;0,
            IF(C13&gt;0,
                IF(C13+D13 &gt; 'Order Side'!B14,
                    'Order Side'!B14,
                    C13 + D13
                ),
                IF(D13 &gt;= 'Order Side'!B14 -C13,
                    'Order Side'!B14 -C13,
                    D13
                )
            ),
            IF(C13&lt;0,
                IF( D13 &gt;= 'Order Side'!B14 -C13,
                    'Order Side'!B14 -C13,
                    D13
                ),
                IF(C13+D13 &gt; 'Order Side'!B14,
                    'Order Side'!B14,
                    C13+D13
                )
            )
        )
    ),
)</f>
        <v>0</v>
      </c>
      <c r="C14" s="4">
        <f ca="1">D13+C13-'Order Side'!B14</f>
        <v>-57</v>
      </c>
      <c r="D14" s="1">
        <f t="shared" si="1"/>
        <v>0</v>
      </c>
      <c r="E14" s="1">
        <f>IF('Order Side'!G14,
    IF('Order Side'!C14 &lt;= F13,
        'Order Side'!C14,
        IF(I14&lt;0,
            IF(F13&gt;0,
                IF(F13+G13 &gt; 'Order Side'!C14,
                    'Order Side'!C14,
                    F13 + G13
                ),
                IF(G13 &gt;= 'Order Side'!C14 -F13,
                    'Order Side'!C14 -F13,
                    G13
                )
            ),
            IF(F13&lt;0,
                IF( G13 &gt;= 'Order Side'!C14 -F13,
                    'Order Side'!C14 -F13,
                    G13
                ),
                IF(F13+G13 &gt; 'Order Side'!C14,
                    'Order Side'!C14,
                    F13+G13
                )
            )
        )
    ),
)</f>
        <v>0</v>
      </c>
      <c r="F14" s="1">
        <f>G13+F13-'Order Side'!C14</f>
        <v>20</v>
      </c>
      <c r="G14" s="1">
        <f t="shared" si="2"/>
        <v>0</v>
      </c>
      <c r="H14" s="1">
        <f>IF('Order Side'!G14,
    IF('Order Side'!D14 &lt;= I13,
        'Order Side'!D14,
        IF(I14&lt;0,
            IF(I13&gt;0,
                IF(I13+J13 &gt; 'Order Side'!D14,
                    'Order Side'!D14,
                    I13 + J13
                ),
                IF(J13 &gt;= 'Order Side'!D14 -I13,
                    'Order Side'!D14 -I13,
                    J13
                )
            ),
            IF(I13&lt;0,
                IF( J13 &gt;= 'Order Side'!D14 -I13,
                    'Order Side'!D14 -I13,
                    J13
                ),
                IF(I13+J13 &gt; 'Order Side'!D14,
                    'Order Side'!D14,
                    I13+J13
                )
            )
        )
    ),
)</f>
        <v>0</v>
      </c>
      <c r="I14" s="1">
        <f>J13+I13-'Order Side'!D14</f>
        <v>20</v>
      </c>
      <c r="J14" s="1">
        <f t="shared" si="3"/>
        <v>0</v>
      </c>
      <c r="K14" s="1">
        <f>IF('Order Side'!G14,
    IF('Order Side'!E14 &lt;= L13,
        'Order Side'!E14,
        IF(L14&lt;0,
            IF(L13&gt;0,
                IF(L13+M13 &gt; 'Order Side'!E14,
                    'Order Side'!E14,
                    L13 + M13
                ),
                IF(M13 &gt;= 'Order Side'!E14 -L13,
                    'Order Side'!E14 -L13,
                    M13
                )
            ),
            IF(L13&lt;0,
                IF( M13 &gt;= 'Order Side'!E14 -L13,
                    'Order Side'!E14 -L13,
                    M13
                ),
                IF(L13+M13 &gt; 'Order Side'!E14,
                    'Order Side'!E14,
                    L13+M13
                )
            )
        )
    ),
)</f>
        <v>0</v>
      </c>
      <c r="L14" s="1">
        <f>M13+L13-'Order Side'!E14</f>
        <v>20</v>
      </c>
      <c r="M14" s="1">
        <f t="shared" si="4"/>
        <v>0</v>
      </c>
      <c r="N14" s="1">
        <f>'Order Side'!F14</f>
        <v>0</v>
      </c>
    </row>
    <row r="15" spans="1:27" x14ac:dyDescent="0.25">
      <c r="A15" s="2">
        <f t="shared" si="0"/>
        <v>14</v>
      </c>
      <c r="B15" s="1">
        <f ca="1">IF('Order Side'!G15,
    IF('Order Side'!B15 &lt;= C14,
        'Order Side'!B15,
        IF(I15&lt;0,
            IF(C14&gt;0,
                IF(C14+D14 &gt; 'Order Side'!B15,
                    'Order Side'!B15,
                    C14 + D14
                ),
                IF(D14 &gt;= 'Order Side'!B15 -C14,
                    'Order Side'!B15 -C14,
                    D14
                )
            ),
            IF(C14&lt;0,
                IF( D14 &gt;= 'Order Side'!B15 -C14,
                    'Order Side'!B15 -C14,
                    D14
                ),
                IF(C14+D14 &gt; 'Order Side'!B15,
                    'Order Side'!B15,
                    C14+D14
                )
            )
        )
    ),
)</f>
        <v>0</v>
      </c>
      <c r="C15" s="4">
        <f ca="1">D14+C14-'Order Side'!B15</f>
        <v>-69</v>
      </c>
      <c r="D15" s="1">
        <f t="shared" si="1"/>
        <v>0</v>
      </c>
      <c r="E15" s="1">
        <f>IF('Order Side'!G15,
    IF('Order Side'!C15 &lt;= F14,
        'Order Side'!C15,
        IF(I15&lt;0,
            IF(F14&gt;0,
                IF(F14+G14 &gt; 'Order Side'!C15,
                    'Order Side'!C15,
                    F14 + G14
                ),
                IF(G14 &gt;= 'Order Side'!C15 -F14,
                    'Order Side'!C15 -F14,
                    G14
                )
            ),
            IF(F14&lt;0,
                IF( G14 &gt;= 'Order Side'!C15 -F14,
                    'Order Side'!C15 -F14,
                    G14
                ),
                IF(F14+G14 &gt; 'Order Side'!C15,
                    'Order Side'!C15,
                    F14+G14
                )
            )
        )
    ),
)</f>
        <v>0</v>
      </c>
      <c r="F15" s="1">
        <f>G14+F14-'Order Side'!C15</f>
        <v>20</v>
      </c>
      <c r="G15" s="1">
        <f t="shared" si="2"/>
        <v>0</v>
      </c>
      <c r="H15" s="1">
        <f>IF('Order Side'!G15,
    IF('Order Side'!D15 &lt;= I14,
        'Order Side'!D15,
        IF(I15&lt;0,
            IF(I14&gt;0,
                IF(I14+J14 &gt; 'Order Side'!D15,
                    'Order Side'!D15,
                    I14 + J14
                ),
                IF(J14 &gt;= 'Order Side'!D15 -I14,
                    'Order Side'!D15 -I14,
                    J14
                )
            ),
            IF(I14&lt;0,
                IF( J14 &gt;= 'Order Side'!D15 -I14,
                    'Order Side'!D15 -I14,
                    J14
                ),
                IF(I14+J14 &gt; 'Order Side'!D15,
                    'Order Side'!D15,
                    I14+J14
                )
            )
        )
    ),
)</f>
        <v>0</v>
      </c>
      <c r="I15" s="1">
        <f>J14+I14-'Order Side'!D15</f>
        <v>20</v>
      </c>
      <c r="J15" s="1">
        <f t="shared" si="3"/>
        <v>0</v>
      </c>
      <c r="K15" s="1">
        <f>IF('Order Side'!G15,
    IF('Order Side'!E15 &lt;= L14,
        'Order Side'!E15,
        IF(L15&lt;0,
            IF(L14&gt;0,
                IF(L14+M14 &gt; 'Order Side'!E15,
                    'Order Side'!E15,
                    L14 + M14
                ),
                IF(M14 &gt;= 'Order Side'!E15 -L14,
                    'Order Side'!E15 -L14,
                    M14
                )
            ),
            IF(L14&lt;0,
                IF( M14 &gt;= 'Order Side'!E15 -L14,
                    'Order Side'!E15 -L14,
                    M14
                ),
                IF(L14+M14 &gt; 'Order Side'!E15,
                    'Order Side'!E15,
                    L14+M14
                )
            )
        )
    ),
)</f>
        <v>0</v>
      </c>
      <c r="L15" s="1">
        <f>M14+L14-'Order Side'!E15</f>
        <v>20</v>
      </c>
      <c r="M15" s="1">
        <f t="shared" si="4"/>
        <v>0</v>
      </c>
      <c r="N15" s="1">
        <f>'Order Side'!F15</f>
        <v>0</v>
      </c>
    </row>
    <row r="16" spans="1:27" x14ac:dyDescent="0.25">
      <c r="A16" s="2">
        <f t="shared" si="0"/>
        <v>15</v>
      </c>
      <c r="B16" s="1">
        <f ca="1">IF('Order Side'!G16,
    IF('Order Side'!B16 &lt;= C15,
        'Order Side'!B16,
        IF(I16&lt;0,
            IF(C15&gt;0,
                IF(C15+D15 &gt; 'Order Side'!B16,
                    'Order Side'!B16,
                    C15 + D15
                ),
                IF(D15 &gt;= 'Order Side'!B16 -C15,
                    'Order Side'!B16 -C15,
                    D15
                )
            ),
            IF(C15&lt;0,
                IF( D15 &gt;= 'Order Side'!B16 -C15,
                    'Order Side'!B16 -C15,
                    D15
                ),
                IF(C15+D15 &gt; 'Order Side'!B16,
                    'Order Side'!B16,
                    C15+D15
                )
            )
        )
    ),
)</f>
        <v>0</v>
      </c>
      <c r="C16" s="4">
        <f ca="1">D15+C15-'Order Side'!B16</f>
        <v>-81</v>
      </c>
      <c r="D16" s="1">
        <f t="shared" si="1"/>
        <v>0</v>
      </c>
      <c r="E16" s="1">
        <f>IF('Order Side'!G16,
    IF('Order Side'!C16 &lt;= F15,
        'Order Side'!C16,
        IF(I16&lt;0,
            IF(F15&gt;0,
                IF(F15+G15 &gt; 'Order Side'!C16,
                    'Order Side'!C16,
                    F15 + G15
                ),
                IF(G15 &gt;= 'Order Side'!C16 -F15,
                    'Order Side'!C16 -F15,
                    G15
                )
            ),
            IF(F15&lt;0,
                IF( G15 &gt;= 'Order Side'!C16 -F15,
                    'Order Side'!C16 -F15,
                    G15
                ),
                IF(F15+G15 &gt; 'Order Side'!C16,
                    'Order Side'!C16,
                    F15+G15
                )
            )
        )
    ),
)</f>
        <v>0</v>
      </c>
      <c r="F16" s="1">
        <f>G15+F15-'Order Side'!C16</f>
        <v>20</v>
      </c>
      <c r="G16" s="1">
        <f t="shared" si="2"/>
        <v>0</v>
      </c>
      <c r="H16" s="1">
        <f>IF('Order Side'!G16,
    IF('Order Side'!D16 &lt;= I15,
        'Order Side'!D16,
        IF(I16&lt;0,
            IF(I15&gt;0,
                IF(I15+J15 &gt; 'Order Side'!D16,
                    'Order Side'!D16,
                    I15 + J15
                ),
                IF(J15 &gt;= 'Order Side'!D16 -I15,
                    'Order Side'!D16 -I15,
                    J15
                )
            ),
            IF(I15&lt;0,
                IF( J15 &gt;= 'Order Side'!D16 -I15,
                    'Order Side'!D16 -I15,
                    J15
                ),
                IF(I15+J15 &gt; 'Order Side'!D16,
                    'Order Side'!D16,
                    I15+J15
                )
            )
        )
    ),
)</f>
        <v>0</v>
      </c>
      <c r="I16" s="1">
        <f>J15+I15-'Order Side'!D16</f>
        <v>20</v>
      </c>
      <c r="J16" s="1">
        <f t="shared" si="3"/>
        <v>0</v>
      </c>
      <c r="K16" s="1">
        <f>IF('Order Side'!G16,
    IF('Order Side'!E16 &lt;= L15,
        'Order Side'!E16,
        IF(L16&lt;0,
            IF(L15&gt;0,
                IF(L15+M15 &gt; 'Order Side'!E16,
                    'Order Side'!E16,
                    L15 + M15
                ),
                IF(M15 &gt;= 'Order Side'!E16 -L15,
                    'Order Side'!E16 -L15,
                    M15
                )
            ),
            IF(L15&lt;0,
                IF( M15 &gt;= 'Order Side'!E16 -L15,
                    'Order Side'!E16 -L15,
                    M15
                ),
                IF(L15+M15 &gt; 'Order Side'!E16,
                    'Order Side'!E16,
                    L15+M15
                )
            )
        )
    ),
)</f>
        <v>0</v>
      </c>
      <c r="L16" s="1">
        <f>M15+L15-'Order Side'!E16</f>
        <v>20</v>
      </c>
      <c r="M16" s="1">
        <f t="shared" si="4"/>
        <v>0</v>
      </c>
      <c r="N16" s="1">
        <f>'Order Side'!F16</f>
        <v>0</v>
      </c>
    </row>
    <row r="17" spans="1:14" x14ac:dyDescent="0.25">
      <c r="A17" s="2">
        <f t="shared" si="0"/>
        <v>16</v>
      </c>
      <c r="B17" s="1">
        <f ca="1">IF('Order Side'!G17,
    IF('Order Side'!B17 &lt;= C16,
        'Order Side'!B17,
        IF(I17&lt;0,
            IF(C16&gt;0,
                IF(C16+D16 &gt; 'Order Side'!B17,
                    'Order Side'!B17,
                    C16 + D16
                ),
                IF(D16 &gt;= 'Order Side'!B17 -C16,
                    'Order Side'!B17 -C16,
                    D16
                )
            ),
            IF(C16&lt;0,
                IF( D16 &gt;= 'Order Side'!B17 -C16,
                    'Order Side'!B17 -C16,
                    D16
                ),
                IF(C16+D16 &gt; 'Order Side'!B17,
                    'Order Side'!B17,
                    C16+D16
                )
            )
        )
    ),
)</f>
        <v>0</v>
      </c>
      <c r="C17" s="4">
        <f ca="1">D16+C16-'Order Side'!B17</f>
        <v>-93</v>
      </c>
      <c r="D17" s="1">
        <f t="shared" si="1"/>
        <v>0</v>
      </c>
      <c r="E17" s="1">
        <f>IF('Order Side'!G17,
    IF('Order Side'!C17 &lt;= F16,
        'Order Side'!C17,
        IF(I17&lt;0,
            IF(F16&gt;0,
                IF(F16+G16 &gt; 'Order Side'!C17,
                    'Order Side'!C17,
                    F16 + G16
                ),
                IF(G16 &gt;= 'Order Side'!C17 -F16,
                    'Order Side'!C17 -F16,
                    G16
                )
            ),
            IF(F16&lt;0,
                IF( G16 &gt;= 'Order Side'!C17 -F16,
                    'Order Side'!C17 -F16,
                    G16
                ),
                IF(F16+G16 &gt; 'Order Side'!C17,
                    'Order Side'!C17,
                    F16+G16
                )
            )
        )
    ),
)</f>
        <v>0</v>
      </c>
      <c r="F17" s="1">
        <f>G16+F16-'Order Side'!C17</f>
        <v>20</v>
      </c>
      <c r="G17" s="1">
        <f t="shared" si="2"/>
        <v>0</v>
      </c>
      <c r="H17" s="1">
        <f>IF('Order Side'!G17,
    IF('Order Side'!D17 &lt;= I16,
        'Order Side'!D17,
        IF(I17&lt;0,
            IF(I16&gt;0,
                IF(I16+J16 &gt; 'Order Side'!D17,
                    'Order Side'!D17,
                    I16 + J16
                ),
                IF(J16 &gt;= 'Order Side'!D17 -I16,
                    'Order Side'!D17 -I16,
                    J16
                )
            ),
            IF(I16&lt;0,
                IF( J16 &gt;= 'Order Side'!D17 -I16,
                    'Order Side'!D17 -I16,
                    J16
                ),
                IF(I16+J16 &gt; 'Order Side'!D17,
                    'Order Side'!D17,
                    I16+J16
                )
            )
        )
    ),
)</f>
        <v>0</v>
      </c>
      <c r="I17" s="1">
        <f>J16+I16-'Order Side'!D17</f>
        <v>20</v>
      </c>
      <c r="J17" s="1">
        <f t="shared" si="3"/>
        <v>0</v>
      </c>
      <c r="K17" s="1">
        <f>IF('Order Side'!G17,
    IF('Order Side'!E17 &lt;= L16,
        'Order Side'!E17,
        IF(L17&lt;0,
            IF(L16&gt;0,
                IF(L16+M16 &gt; 'Order Side'!E17,
                    'Order Side'!E17,
                    L16 + M16
                ),
                IF(M16 &gt;= 'Order Side'!E17 -L16,
                    'Order Side'!E17 -L16,
                    M16
                )
            ),
            IF(L16&lt;0,
                IF( M16 &gt;= 'Order Side'!E17 -L16,
                    'Order Side'!E17 -L16,
                    M16
                ),
                IF(L16+M16 &gt; 'Order Side'!E17,
                    'Order Side'!E17,
                    L16+M16
                )
            )
        )
    ),
)</f>
        <v>0</v>
      </c>
      <c r="L17" s="1">
        <f>M16+L16-'Order Side'!E17</f>
        <v>20</v>
      </c>
      <c r="M17" s="1">
        <f t="shared" si="4"/>
        <v>0</v>
      </c>
      <c r="N17" s="1">
        <f>'Order Side'!F17</f>
        <v>0</v>
      </c>
    </row>
    <row r="18" spans="1:14" x14ac:dyDescent="0.25">
      <c r="A18" s="2">
        <f t="shared" si="0"/>
        <v>17</v>
      </c>
      <c r="B18" s="1">
        <f ca="1">IF('Order Side'!G18,
    IF('Order Side'!B18 &lt;= C17,
        'Order Side'!B18,
        IF(I18&lt;0,
            IF(C17&gt;0,
                IF(C17+D17 &gt; 'Order Side'!B18,
                    'Order Side'!B18,
                    C17 + D17
                ),
                IF(D17 &gt;= 'Order Side'!B18 -C17,
                    'Order Side'!B18 -C17,
                    D17
                )
            ),
            IF(C17&lt;0,
                IF( D17 &gt;= 'Order Side'!B18 -C17,
                    'Order Side'!B18 -C17,
                    D17
                ),
                IF(C17+D17 &gt; 'Order Side'!B18,
                    'Order Side'!B18,
                    C17+D17
                )
            )
        )
    ),
)</f>
        <v>0</v>
      </c>
      <c r="C18" s="4">
        <f ca="1">D17+C17-'Order Side'!B18</f>
        <v>-105</v>
      </c>
      <c r="D18" s="1">
        <f t="shared" si="1"/>
        <v>0</v>
      </c>
      <c r="E18" s="1">
        <f>IF('Order Side'!G18,
    IF('Order Side'!C18 &lt;= F17,
        'Order Side'!C18,
        IF(I18&lt;0,
            IF(F17&gt;0,
                IF(F17+G17 &gt; 'Order Side'!C18,
                    'Order Side'!C18,
                    F17 + G17
                ),
                IF(G17 &gt;= 'Order Side'!C18 -F17,
                    'Order Side'!C18 -F17,
                    G17
                )
            ),
            IF(F17&lt;0,
                IF( G17 &gt;= 'Order Side'!C18 -F17,
                    'Order Side'!C18 -F17,
                    G17
                ),
                IF(F17+G17 &gt; 'Order Side'!C18,
                    'Order Side'!C18,
                    F17+G17
                )
            )
        )
    ),
)</f>
        <v>0</v>
      </c>
      <c r="F18" s="1">
        <f>G17+F17-'Order Side'!C18</f>
        <v>20</v>
      </c>
      <c r="G18" s="1">
        <f t="shared" si="2"/>
        <v>0</v>
      </c>
      <c r="H18" s="1">
        <f>IF('Order Side'!G18,
    IF('Order Side'!D18 &lt;= I17,
        'Order Side'!D18,
        IF(I18&lt;0,
            IF(I17&gt;0,
                IF(I17+J17 &gt; 'Order Side'!D18,
                    'Order Side'!D18,
                    I17 + J17
                ),
                IF(J17 &gt;= 'Order Side'!D18 -I17,
                    'Order Side'!D18 -I17,
                    J17
                )
            ),
            IF(I17&lt;0,
                IF( J17 &gt;= 'Order Side'!D18 -I17,
                    'Order Side'!D18 -I17,
                    J17
                ),
                IF(I17+J17 &gt; 'Order Side'!D18,
                    'Order Side'!D18,
                    I17+J17
                )
            )
        )
    ),
)</f>
        <v>0</v>
      </c>
      <c r="I18" s="1">
        <f>J17+I17-'Order Side'!D18</f>
        <v>20</v>
      </c>
      <c r="J18" s="1">
        <f t="shared" si="3"/>
        <v>0</v>
      </c>
      <c r="K18" s="1">
        <f>IF('Order Side'!G18,
    IF('Order Side'!E18 &lt;= L17,
        'Order Side'!E18,
        IF(L18&lt;0,
            IF(L17&gt;0,
                IF(L17+M17 &gt; 'Order Side'!E18,
                    'Order Side'!E18,
                    L17 + M17
                ),
                IF(M17 &gt;= 'Order Side'!E18 -L17,
                    'Order Side'!E18 -L17,
                    M17
                )
            ),
            IF(L17&lt;0,
                IF( M17 &gt;= 'Order Side'!E18 -L17,
                    'Order Side'!E18 -L17,
                    M17
                ),
                IF(L17+M17 &gt; 'Order Side'!E18,
                    'Order Side'!E18,
                    L17+M17
                )
            )
        )
    ),
)</f>
        <v>0</v>
      </c>
      <c r="L18" s="1">
        <f>M17+L17-'Order Side'!E18</f>
        <v>20</v>
      </c>
      <c r="M18" s="1">
        <f t="shared" si="4"/>
        <v>0</v>
      </c>
      <c r="N18" s="1">
        <f>'Order Side'!F18</f>
        <v>0</v>
      </c>
    </row>
    <row r="19" spans="1:14" x14ac:dyDescent="0.25">
      <c r="A19" s="2">
        <f t="shared" si="0"/>
        <v>18</v>
      </c>
      <c r="B19" s="1">
        <f ca="1">IF('Order Side'!G19,
    IF('Order Side'!B19 &lt;= C18,
        'Order Side'!B19,
        IF(I19&lt;0,
            IF(C18&gt;0,
                IF(C18+D18 &gt; 'Order Side'!B19,
                    'Order Side'!B19,
                    C18 + D18
                ),
                IF(D18 &gt;= 'Order Side'!B19 -C18,
                    'Order Side'!B19 -C18,
                    D18
                )
            ),
            IF(C18&lt;0,
                IF( D18 &gt;= 'Order Side'!B19 -C18,
                    'Order Side'!B19 -C18,
                    D18
                ),
                IF(C18+D18 &gt; 'Order Side'!B19,
                    'Order Side'!B19,
                    C18+D18
                )
            )
        )
    ),
)</f>
        <v>0</v>
      </c>
      <c r="C19" s="4">
        <f ca="1">D18+C18-'Order Side'!B19</f>
        <v>-117</v>
      </c>
      <c r="D19" s="1">
        <f t="shared" si="1"/>
        <v>0</v>
      </c>
      <c r="E19" s="1">
        <f>IF('Order Side'!G19,
    IF('Order Side'!C19 &lt;= F18,
        'Order Side'!C19,
        IF(I19&lt;0,
            IF(F18&gt;0,
                IF(F18+G18 &gt; 'Order Side'!C19,
                    'Order Side'!C19,
                    F18 + G18
                ),
                IF(G18 &gt;= 'Order Side'!C19 -F18,
                    'Order Side'!C19 -F18,
                    G18
                )
            ),
            IF(F18&lt;0,
                IF( G18 &gt;= 'Order Side'!C19 -F18,
                    'Order Side'!C19 -F18,
                    G18
                ),
                IF(F18+G18 &gt; 'Order Side'!C19,
                    'Order Side'!C19,
                    F18+G18
                )
            )
        )
    ),
)</f>
        <v>0</v>
      </c>
      <c r="F19" s="1">
        <f>G18+F18-'Order Side'!C19</f>
        <v>20</v>
      </c>
      <c r="G19" s="1">
        <f t="shared" si="2"/>
        <v>0</v>
      </c>
      <c r="H19" s="1">
        <f>IF('Order Side'!G19,
    IF('Order Side'!D19 &lt;= I18,
        'Order Side'!D19,
        IF(I19&lt;0,
            IF(I18&gt;0,
                IF(I18+J18 &gt; 'Order Side'!D19,
                    'Order Side'!D19,
                    I18 + J18
                ),
                IF(J18 &gt;= 'Order Side'!D19 -I18,
                    'Order Side'!D19 -I18,
                    J18
                )
            ),
            IF(I18&lt;0,
                IF( J18 &gt;= 'Order Side'!D19 -I18,
                    'Order Side'!D19 -I18,
                    J18
                ),
                IF(I18+J18 &gt; 'Order Side'!D19,
                    'Order Side'!D19,
                    I18+J18
                )
            )
        )
    ),
)</f>
        <v>0</v>
      </c>
      <c r="I19" s="1">
        <f>J18+I18-'Order Side'!D19</f>
        <v>20</v>
      </c>
      <c r="J19" s="1">
        <f t="shared" si="3"/>
        <v>0</v>
      </c>
      <c r="K19" s="1">
        <f>IF('Order Side'!G19,
    IF('Order Side'!E19 &lt;= L18,
        'Order Side'!E19,
        IF(L19&lt;0,
            IF(L18&gt;0,
                IF(L18+M18 &gt; 'Order Side'!E19,
                    'Order Side'!E19,
                    L18 + M18
                ),
                IF(M18 &gt;= 'Order Side'!E19 -L18,
                    'Order Side'!E19 -L18,
                    M18
                )
            ),
            IF(L18&lt;0,
                IF( M18 &gt;= 'Order Side'!E19 -L18,
                    'Order Side'!E19 -L18,
                    M18
                ),
                IF(L18+M18 &gt; 'Order Side'!E19,
                    'Order Side'!E19,
                    L18+M18
                )
            )
        )
    ),
)</f>
        <v>0</v>
      </c>
      <c r="L19" s="1">
        <f>M18+L18-'Order Side'!E19</f>
        <v>20</v>
      </c>
      <c r="M19" s="1">
        <f t="shared" si="4"/>
        <v>0</v>
      </c>
      <c r="N19" s="1">
        <f>'Order Side'!F19</f>
        <v>0</v>
      </c>
    </row>
    <row r="20" spans="1:14" x14ac:dyDescent="0.25">
      <c r="A20" s="2">
        <f t="shared" si="0"/>
        <v>19</v>
      </c>
      <c r="B20" s="1">
        <f ca="1">IF('Order Side'!G20,
    IF('Order Side'!B20 &lt;= C19,
        'Order Side'!B20,
        IF(I20&lt;0,
            IF(C19&gt;0,
                IF(C19+D19 &gt; 'Order Side'!B20,
                    'Order Side'!B20,
                    C19 + D19
                ),
                IF(D19 &gt;= 'Order Side'!B20 -C19,
                    'Order Side'!B20 -C19,
                    D19
                )
            ),
            IF(C19&lt;0,
                IF( D19 &gt;= 'Order Side'!B20 -C19,
                    'Order Side'!B20 -C19,
                    D19
                ),
                IF(C19+D19 &gt; 'Order Side'!B20,
                    'Order Side'!B20,
                    C19+D19
                )
            )
        )
    ),
)</f>
        <v>0</v>
      </c>
      <c r="C20" s="4">
        <f ca="1">D19+C19-'Order Side'!B20</f>
        <v>-129</v>
      </c>
      <c r="D20" s="1">
        <f t="shared" si="1"/>
        <v>0</v>
      </c>
      <c r="E20" s="1">
        <f>IF('Order Side'!G20,
    IF('Order Side'!C20 &lt;= F19,
        'Order Side'!C20,
        IF(I20&lt;0,
            IF(F19&gt;0,
                IF(F19+G19 &gt; 'Order Side'!C20,
                    'Order Side'!C20,
                    F19 + G19
                ),
                IF(G19 &gt;= 'Order Side'!C20 -F19,
                    'Order Side'!C20 -F19,
                    G19
                )
            ),
            IF(F19&lt;0,
                IF( G19 &gt;= 'Order Side'!C20 -F19,
                    'Order Side'!C20 -F19,
                    G19
                ),
                IF(F19+G19 &gt; 'Order Side'!C20,
                    'Order Side'!C20,
                    F19+G19
                )
            )
        )
    ),
)</f>
        <v>0</v>
      </c>
      <c r="F20" s="1">
        <f>G19+F19-'Order Side'!C20</f>
        <v>20</v>
      </c>
      <c r="G20" s="1">
        <f t="shared" si="2"/>
        <v>0</v>
      </c>
      <c r="H20" s="1">
        <f>IF('Order Side'!G20,
    IF('Order Side'!D20 &lt;= I19,
        'Order Side'!D20,
        IF(I20&lt;0,
            IF(I19&gt;0,
                IF(I19+J19 &gt; 'Order Side'!D20,
                    'Order Side'!D20,
                    I19 + J19
                ),
                IF(J19 &gt;= 'Order Side'!D20 -I19,
                    'Order Side'!D20 -I19,
                    J19
                )
            ),
            IF(I19&lt;0,
                IF( J19 &gt;= 'Order Side'!D20 -I19,
                    'Order Side'!D20 -I19,
                    J19
                ),
                IF(I19+J19 &gt; 'Order Side'!D20,
                    'Order Side'!D20,
                    I19+J19
                )
            )
        )
    ),
)</f>
        <v>0</v>
      </c>
      <c r="I20" s="1">
        <f>J19+I19-'Order Side'!D20</f>
        <v>20</v>
      </c>
      <c r="J20" s="1">
        <f t="shared" si="3"/>
        <v>0</v>
      </c>
      <c r="K20" s="1">
        <f>IF('Order Side'!G20,
    IF('Order Side'!E20 &lt;= L19,
        'Order Side'!E20,
        IF(L20&lt;0,
            IF(L19&gt;0,
                IF(L19+M19 &gt; 'Order Side'!E20,
                    'Order Side'!E20,
                    L19 + M19
                ),
                IF(M19 &gt;= 'Order Side'!E20 -L19,
                    'Order Side'!E20 -L19,
                    M19
                )
            ),
            IF(L19&lt;0,
                IF( M19 &gt;= 'Order Side'!E20 -L19,
                    'Order Side'!E20 -L19,
                    M19
                ),
                IF(L19+M19 &gt; 'Order Side'!E20,
                    'Order Side'!E20,
                    L19+M19
                )
            )
        )
    ),
)</f>
        <v>0</v>
      </c>
      <c r="L20" s="1">
        <f>M19+L19-'Order Side'!E20</f>
        <v>20</v>
      </c>
      <c r="M20" s="1">
        <f t="shared" si="4"/>
        <v>0</v>
      </c>
      <c r="N20" s="1">
        <f>'Order Side'!F20</f>
        <v>0</v>
      </c>
    </row>
    <row r="21" spans="1:14" x14ac:dyDescent="0.25">
      <c r="A21" s="2">
        <f t="shared" si="0"/>
        <v>20</v>
      </c>
      <c r="B21" s="1">
        <f ca="1">IF('Order Side'!G21,
    IF('Order Side'!B21 &lt;= C20,
        'Order Side'!B21,
        IF(I21&lt;0,
            IF(C20&gt;0,
                IF(C20+D20 &gt; 'Order Side'!B21,
                    'Order Side'!B21,
                    C20 + D20
                ),
                IF(D20 &gt;= 'Order Side'!B21 -C20,
                    'Order Side'!B21 -C20,
                    D20
                )
            ),
            IF(C20&lt;0,
                IF( D20 &gt;= 'Order Side'!B21 -C20,
                    'Order Side'!B21 -C20,
                    D20
                ),
                IF(C20+D20 &gt; 'Order Side'!B21,
                    'Order Side'!B21,
                    C20+D20
                )
            )
        )
    ),
)</f>
        <v>0</v>
      </c>
      <c r="C21" s="4">
        <f ca="1">D20+C20-'Order Side'!B21</f>
        <v>-141</v>
      </c>
      <c r="D21" s="1">
        <f t="shared" si="1"/>
        <v>0</v>
      </c>
      <c r="E21" s="1">
        <f>IF('Order Side'!G21,
    IF('Order Side'!C21 &lt;= F20,
        'Order Side'!C21,
        IF(I21&lt;0,
            IF(F20&gt;0,
                IF(F20+G20 &gt; 'Order Side'!C21,
                    'Order Side'!C21,
                    F20 + G20
                ),
                IF(G20 &gt;= 'Order Side'!C21 -F20,
                    'Order Side'!C21 -F20,
                    G20
                )
            ),
            IF(F20&lt;0,
                IF( G20 &gt;= 'Order Side'!C21 -F20,
                    'Order Side'!C21 -F20,
                    G20
                ),
                IF(F20+G20 &gt; 'Order Side'!C21,
                    'Order Side'!C21,
                    F20+G20
                )
            )
        )
    ),
)</f>
        <v>0</v>
      </c>
      <c r="F21" s="1">
        <f>G20+F20-'Order Side'!C21</f>
        <v>20</v>
      </c>
      <c r="G21" s="1">
        <f t="shared" si="2"/>
        <v>0</v>
      </c>
      <c r="H21" s="1">
        <f>IF('Order Side'!G21,
    IF('Order Side'!D21 &lt;= I20,
        'Order Side'!D21,
        IF(I21&lt;0,
            IF(I20&gt;0,
                IF(I20+J20 &gt; 'Order Side'!D21,
                    'Order Side'!D21,
                    I20 + J20
                ),
                IF(J20 &gt;= 'Order Side'!D21 -I20,
                    'Order Side'!D21 -I20,
                    J20
                )
            ),
            IF(I20&lt;0,
                IF( J20 &gt;= 'Order Side'!D21 -I20,
                    'Order Side'!D21 -I20,
                    J20
                ),
                IF(I20+J20 &gt; 'Order Side'!D21,
                    'Order Side'!D21,
                    I20+J20
                )
            )
        )
    ),
)</f>
        <v>0</v>
      </c>
      <c r="I21" s="1">
        <f>J20+I20-'Order Side'!D21</f>
        <v>20</v>
      </c>
      <c r="J21" s="1">
        <f t="shared" si="3"/>
        <v>0</v>
      </c>
      <c r="K21" s="1">
        <f>IF('Order Side'!G21,
    IF('Order Side'!E21 &lt;= L20,
        'Order Side'!E21,
        IF(L21&lt;0,
            IF(L20&gt;0,
                IF(L20+M20 &gt; 'Order Side'!E21,
                    'Order Side'!E21,
                    L20 + M20
                ),
                IF(M20 &gt;= 'Order Side'!E21 -L20,
                    'Order Side'!E21 -L20,
                    M20
                )
            ),
            IF(L20&lt;0,
                IF( M20 &gt;= 'Order Side'!E21 -L20,
                    'Order Side'!E21 -L20,
                    M20
                ),
                IF(L20+M20 &gt; 'Order Side'!E21,
                    'Order Side'!E21,
                    L20+M20
                )
            )
        )
    ),
)</f>
        <v>0</v>
      </c>
      <c r="L21" s="1">
        <f>M20+L20-'Order Side'!E21</f>
        <v>20</v>
      </c>
      <c r="M21" s="1">
        <f t="shared" si="4"/>
        <v>0</v>
      </c>
      <c r="N21" s="1">
        <f>'Order Side'!F21</f>
        <v>0</v>
      </c>
    </row>
    <row r="22" spans="1:14" x14ac:dyDescent="0.25">
      <c r="A22" s="2">
        <f t="shared" si="0"/>
        <v>21</v>
      </c>
      <c r="B22" s="1">
        <f ca="1">IF('Order Side'!G22,
    IF('Order Side'!B22 &lt;= C21,
        'Order Side'!B22,
        IF(I22&lt;0,
            IF(C21&gt;0,
                IF(C21+D21 &gt; 'Order Side'!B22,
                    'Order Side'!B22,
                    C21 + D21
                ),
                IF(D21 &gt;= 'Order Side'!B22 -C21,
                    'Order Side'!B22 -C21,
                    D21
                )
            ),
            IF(C21&lt;0,
                IF( D21 &gt;= 'Order Side'!B22 -C21,
                    'Order Side'!B22 -C21,
                    D21
                ),
                IF(C21+D21 &gt; 'Order Side'!B22,
                    'Order Side'!B22,
                    C21+D21
                )
            )
        )
    ),
)</f>
        <v>0</v>
      </c>
      <c r="C22" s="4">
        <f ca="1">D21+C21-'Order Side'!B22</f>
        <v>-153</v>
      </c>
      <c r="D22" s="1">
        <f t="shared" si="1"/>
        <v>0</v>
      </c>
      <c r="E22" s="1">
        <f>IF('Order Side'!G22,
    IF('Order Side'!C22 &lt;= F21,
        'Order Side'!C22,
        IF(I22&lt;0,
            IF(F21&gt;0,
                IF(F21+G21 &gt; 'Order Side'!C22,
                    'Order Side'!C22,
                    F21 + G21
                ),
                IF(G21 &gt;= 'Order Side'!C22 -F21,
                    'Order Side'!C22 -F21,
                    G21
                )
            ),
            IF(F21&lt;0,
                IF( G21 &gt;= 'Order Side'!C22 -F21,
                    'Order Side'!C22 -F21,
                    G21
                ),
                IF(F21+G21 &gt; 'Order Side'!C22,
                    'Order Side'!C22,
                    F21+G21
                )
            )
        )
    ),
)</f>
        <v>0</v>
      </c>
      <c r="F22" s="1">
        <f>G21+F21-'Order Side'!C22</f>
        <v>20</v>
      </c>
      <c r="G22" s="1">
        <f t="shared" si="2"/>
        <v>0</v>
      </c>
      <c r="H22" s="1">
        <f>IF('Order Side'!G22,
    IF('Order Side'!D22 &lt;= I21,
        'Order Side'!D22,
        IF(I22&lt;0,
            IF(I21&gt;0,
                IF(I21+J21 &gt; 'Order Side'!D22,
                    'Order Side'!D22,
                    I21 + J21
                ),
                IF(J21 &gt;= 'Order Side'!D22 -I21,
                    'Order Side'!D22 -I21,
                    J21
                )
            ),
            IF(I21&lt;0,
                IF( J21 &gt;= 'Order Side'!D22 -I21,
                    'Order Side'!D22 -I21,
                    J21
                ),
                IF(I21+J21 &gt; 'Order Side'!D22,
                    'Order Side'!D22,
                    I21+J21
                )
            )
        )
    ),
)</f>
        <v>0</v>
      </c>
      <c r="I22" s="1">
        <f>J21+I21-'Order Side'!D22</f>
        <v>20</v>
      </c>
      <c r="J22" s="1">
        <f t="shared" si="3"/>
        <v>0</v>
      </c>
      <c r="K22" s="1">
        <f>IF('Order Side'!G22,
    IF('Order Side'!E22 &lt;= L21,
        'Order Side'!E22,
        IF(L22&lt;0,
            IF(L21&gt;0,
                IF(L21+M21 &gt; 'Order Side'!E22,
                    'Order Side'!E22,
                    L21 + M21
                ),
                IF(M21 &gt;= 'Order Side'!E22 -L21,
                    'Order Side'!E22 -L21,
                    M21
                )
            ),
            IF(L21&lt;0,
                IF( M21 &gt;= 'Order Side'!E22 -L21,
                    'Order Side'!E22 -L21,
                    M21
                ),
                IF(L21+M21 &gt; 'Order Side'!E22,
                    'Order Side'!E22,
                    L21+M21
                )
            )
        )
    ),
)</f>
        <v>0</v>
      </c>
      <c r="L22" s="1">
        <f>M21+L21-'Order Side'!E22</f>
        <v>20</v>
      </c>
      <c r="M22" s="1">
        <f t="shared" si="4"/>
        <v>0</v>
      </c>
      <c r="N22" s="1">
        <f>'Order Side'!F22</f>
        <v>0</v>
      </c>
    </row>
    <row r="23" spans="1:14" x14ac:dyDescent="0.25">
      <c r="A23" s="2">
        <f t="shared" si="0"/>
        <v>22</v>
      </c>
      <c r="B23" s="1">
        <f ca="1">IF('Order Side'!G23,
    IF('Order Side'!B23 &lt;= C22,
        'Order Side'!B23,
        IF(I23&lt;0,
            IF(C22&gt;0,
                IF(C22+D22 &gt; 'Order Side'!B23,
                    'Order Side'!B23,
                    C22 + D22
                ),
                IF(D22 &gt;= 'Order Side'!B23 -C22,
                    'Order Side'!B23 -C22,
                    D22
                )
            ),
            IF(C22&lt;0,
                IF( D22 &gt;= 'Order Side'!B23 -C22,
                    'Order Side'!B23 -C22,
                    D22
                ),
                IF(C22+D22 &gt; 'Order Side'!B23,
                    'Order Side'!B23,
                    C22+D22
                )
            )
        )
    ),
)</f>
        <v>0</v>
      </c>
      <c r="C23" s="4">
        <f ca="1">D22+C22-'Order Side'!B23</f>
        <v>-165</v>
      </c>
      <c r="D23" s="1">
        <f t="shared" si="1"/>
        <v>0</v>
      </c>
      <c r="E23" s="1">
        <f>IF('Order Side'!G23,
    IF('Order Side'!C23 &lt;= F22,
        'Order Side'!C23,
        IF(I23&lt;0,
            IF(F22&gt;0,
                IF(F22+G22 &gt; 'Order Side'!C23,
                    'Order Side'!C23,
                    F22 + G22
                ),
                IF(G22 &gt;= 'Order Side'!C23 -F22,
                    'Order Side'!C23 -F22,
                    G22
                )
            ),
            IF(F22&lt;0,
                IF( G22 &gt;= 'Order Side'!C23 -F22,
                    'Order Side'!C23 -F22,
                    G22
                ),
                IF(F22+G22 &gt; 'Order Side'!C23,
                    'Order Side'!C23,
                    F22+G22
                )
            )
        )
    ),
)</f>
        <v>0</v>
      </c>
      <c r="F23" s="1">
        <f>G22+F22-'Order Side'!C23</f>
        <v>20</v>
      </c>
      <c r="G23" s="1">
        <f t="shared" si="2"/>
        <v>0</v>
      </c>
      <c r="H23" s="1">
        <f>IF('Order Side'!G23,
    IF('Order Side'!D23 &lt;= I22,
        'Order Side'!D23,
        IF(I23&lt;0,
            IF(I22&gt;0,
                IF(I22+J22 &gt; 'Order Side'!D23,
                    'Order Side'!D23,
                    I22 + J22
                ),
                IF(J22 &gt;= 'Order Side'!D23 -I22,
                    'Order Side'!D23 -I22,
                    J22
                )
            ),
            IF(I22&lt;0,
                IF( J22 &gt;= 'Order Side'!D23 -I22,
                    'Order Side'!D23 -I22,
                    J22
                ),
                IF(I22+J22 &gt; 'Order Side'!D23,
                    'Order Side'!D23,
                    I22+J22
                )
            )
        )
    ),
)</f>
        <v>0</v>
      </c>
      <c r="I23" s="1">
        <f>J22+I22-'Order Side'!D23</f>
        <v>20</v>
      </c>
      <c r="J23" s="1">
        <f t="shared" si="3"/>
        <v>0</v>
      </c>
      <c r="K23" s="1">
        <f>IF('Order Side'!G23,
    IF('Order Side'!E23 &lt;= L22,
        'Order Side'!E23,
        IF(L23&lt;0,
            IF(L22&gt;0,
                IF(L22+M22 &gt; 'Order Side'!E23,
                    'Order Side'!E23,
                    L22 + M22
                ),
                IF(M22 &gt;= 'Order Side'!E23 -L22,
                    'Order Side'!E23 -L22,
                    M22
                )
            ),
            IF(L22&lt;0,
                IF( M22 &gt;= 'Order Side'!E23 -L22,
                    'Order Side'!E23 -L22,
                    M22
                ),
                IF(L22+M22 &gt; 'Order Side'!E23,
                    'Order Side'!E23,
                    L22+M22
                )
            )
        )
    ),
)</f>
        <v>0</v>
      </c>
      <c r="L23" s="1">
        <f>M22+L22-'Order Side'!E23</f>
        <v>20</v>
      </c>
      <c r="M23" s="1">
        <f t="shared" si="4"/>
        <v>0</v>
      </c>
      <c r="N23" s="1">
        <f>'Order Side'!F23</f>
        <v>0</v>
      </c>
    </row>
    <row r="24" spans="1:14" x14ac:dyDescent="0.25">
      <c r="A24" s="2">
        <f t="shared" si="0"/>
        <v>23</v>
      </c>
      <c r="B24" s="1">
        <f ca="1">IF('Order Side'!G24,
    IF('Order Side'!B24 &lt;= C23,
        'Order Side'!B24,
        IF(I24&lt;0,
            IF(C23&gt;0,
                IF(C23+D23 &gt; 'Order Side'!B24,
                    'Order Side'!B24,
                    C23 + D23
                ),
                IF(D23 &gt;= 'Order Side'!B24 -C23,
                    'Order Side'!B24 -C23,
                    D23
                )
            ),
            IF(C23&lt;0,
                IF( D23 &gt;= 'Order Side'!B24 -C23,
                    'Order Side'!B24 -C23,
                    D23
                ),
                IF(C23+D23 &gt; 'Order Side'!B24,
                    'Order Side'!B24,
                    C23+D23
                )
            )
        )
    ),
)</f>
        <v>0</v>
      </c>
      <c r="C24" s="4">
        <f ca="1">D23+C23-'Order Side'!B24</f>
        <v>-177</v>
      </c>
      <c r="D24" s="1">
        <f t="shared" si="1"/>
        <v>0</v>
      </c>
      <c r="E24" s="1">
        <f>IF('Order Side'!G24,
    IF('Order Side'!C24 &lt;= F23,
        'Order Side'!C24,
        IF(I24&lt;0,
            IF(F23&gt;0,
                IF(F23+G23 &gt; 'Order Side'!C24,
                    'Order Side'!C24,
                    F23 + G23
                ),
                IF(G23 &gt;= 'Order Side'!C24 -F23,
                    'Order Side'!C24 -F23,
                    G23
                )
            ),
            IF(F23&lt;0,
                IF( G23 &gt;= 'Order Side'!C24 -F23,
                    'Order Side'!C24 -F23,
                    G23
                ),
                IF(F23+G23 &gt; 'Order Side'!C24,
                    'Order Side'!C24,
                    F23+G23
                )
            )
        )
    ),
)</f>
        <v>0</v>
      </c>
      <c r="F24" s="1">
        <f>G23+F23-'Order Side'!C24</f>
        <v>20</v>
      </c>
      <c r="G24" s="1">
        <f t="shared" si="2"/>
        <v>0</v>
      </c>
      <c r="H24" s="1">
        <f>IF('Order Side'!G24,
    IF('Order Side'!D24 &lt;= I23,
        'Order Side'!D24,
        IF(I24&lt;0,
            IF(I23&gt;0,
                IF(I23+J23 &gt; 'Order Side'!D24,
                    'Order Side'!D24,
                    I23 + J23
                ),
                IF(J23 &gt;= 'Order Side'!D24 -I23,
                    'Order Side'!D24 -I23,
                    J23
                )
            ),
            IF(I23&lt;0,
                IF( J23 &gt;= 'Order Side'!D24 -I23,
                    'Order Side'!D24 -I23,
                    J23
                ),
                IF(I23+J23 &gt; 'Order Side'!D24,
                    'Order Side'!D24,
                    I23+J23
                )
            )
        )
    ),
)</f>
        <v>0</v>
      </c>
      <c r="I24" s="1">
        <f>J23+I23-'Order Side'!D24</f>
        <v>20</v>
      </c>
      <c r="J24" s="1">
        <f t="shared" si="3"/>
        <v>0</v>
      </c>
      <c r="K24" s="1">
        <f>IF('Order Side'!G24,
    IF('Order Side'!E24 &lt;= L23,
        'Order Side'!E24,
        IF(L24&lt;0,
            IF(L23&gt;0,
                IF(L23+M23 &gt; 'Order Side'!E24,
                    'Order Side'!E24,
                    L23 + M23
                ),
                IF(M23 &gt;= 'Order Side'!E24 -L23,
                    'Order Side'!E24 -L23,
                    M23
                )
            ),
            IF(L23&lt;0,
                IF( M23 &gt;= 'Order Side'!E24 -L23,
                    'Order Side'!E24 -L23,
                    M23
                ),
                IF(L23+M23 &gt; 'Order Side'!E24,
                    'Order Side'!E24,
                    L23+M23
                )
            )
        )
    ),
)</f>
        <v>0</v>
      </c>
      <c r="L24" s="1">
        <f>M23+L23-'Order Side'!E24</f>
        <v>20</v>
      </c>
      <c r="M24" s="1">
        <f t="shared" si="4"/>
        <v>0</v>
      </c>
      <c r="N24" s="1">
        <f>'Order Side'!F24</f>
        <v>0</v>
      </c>
    </row>
    <row r="25" spans="1:14" x14ac:dyDescent="0.25">
      <c r="A25" s="2">
        <f t="shared" si="0"/>
        <v>24</v>
      </c>
      <c r="B25" s="1">
        <f ca="1">IF('Order Side'!G25,
    IF('Order Side'!B25 &lt;= C24,
        'Order Side'!B25,
        IF(I25&lt;0,
            IF(C24&gt;0,
                IF(C24+D24 &gt; 'Order Side'!B25,
                    'Order Side'!B25,
                    C24 + D24
                ),
                IF(D24 &gt;= 'Order Side'!B25 -C24,
                    'Order Side'!B25 -C24,
                    D24
                )
            ),
            IF(C24&lt;0,
                IF( D24 &gt;= 'Order Side'!B25 -C24,
                    'Order Side'!B25 -C24,
                    D24
                ),
                IF(C24+D24 &gt; 'Order Side'!B25,
                    'Order Side'!B25,
                    C24+D24
                )
            )
        )
    ),
)</f>
        <v>0</v>
      </c>
      <c r="C25" s="4">
        <f ca="1">D24+C24-'Order Side'!B25</f>
        <v>-189</v>
      </c>
      <c r="D25" s="1">
        <f t="shared" si="1"/>
        <v>0</v>
      </c>
      <c r="E25" s="1">
        <f>IF('Order Side'!G25,
    IF('Order Side'!C25 &lt;= F24,
        'Order Side'!C25,
        IF(I25&lt;0,
            IF(F24&gt;0,
                IF(F24+G24 &gt; 'Order Side'!C25,
                    'Order Side'!C25,
                    F24 + G24
                ),
                IF(G24 &gt;= 'Order Side'!C25 -F24,
                    'Order Side'!C25 -F24,
                    G24
                )
            ),
            IF(F24&lt;0,
                IF( G24 &gt;= 'Order Side'!C25 -F24,
                    'Order Side'!C25 -F24,
                    G24
                ),
                IF(F24+G24 &gt; 'Order Side'!C25,
                    'Order Side'!C25,
                    F24+G24
                )
            )
        )
    ),
)</f>
        <v>0</v>
      </c>
      <c r="F25" s="1">
        <f>G24+F24-'Order Side'!C25</f>
        <v>20</v>
      </c>
      <c r="G25" s="1">
        <f t="shared" si="2"/>
        <v>0</v>
      </c>
      <c r="H25" s="1">
        <f>IF('Order Side'!G25,
    IF('Order Side'!D25 &lt;= I24,
        'Order Side'!D25,
        IF(I25&lt;0,
            IF(I24&gt;0,
                IF(I24+J24 &gt; 'Order Side'!D25,
                    'Order Side'!D25,
                    I24 + J24
                ),
                IF(J24 &gt;= 'Order Side'!D25 -I24,
                    'Order Side'!D25 -I24,
                    J24
                )
            ),
            IF(I24&lt;0,
                IF( J24 &gt;= 'Order Side'!D25 -I24,
                    'Order Side'!D25 -I24,
                    J24
                ),
                IF(I24+J24 &gt; 'Order Side'!D25,
                    'Order Side'!D25,
                    I24+J24
                )
            )
        )
    ),
)</f>
        <v>0</v>
      </c>
      <c r="I25" s="1">
        <f>J24+I24-'Order Side'!D25</f>
        <v>20</v>
      </c>
      <c r="J25" s="1">
        <f t="shared" si="3"/>
        <v>0</v>
      </c>
      <c r="K25" s="1">
        <f>IF('Order Side'!G25,
    IF('Order Side'!E25 &lt;= L24,
        'Order Side'!E25,
        IF(L25&lt;0,
            IF(L24&gt;0,
                IF(L24+M24 &gt; 'Order Side'!E25,
                    'Order Side'!E25,
                    L24 + M24
                ),
                IF(M24 &gt;= 'Order Side'!E25 -L24,
                    'Order Side'!E25 -L24,
                    M24
                )
            ),
            IF(L24&lt;0,
                IF( M24 &gt;= 'Order Side'!E25 -L24,
                    'Order Side'!E25 -L24,
                    M24
                ),
                IF(L24+M24 &gt; 'Order Side'!E25,
                    'Order Side'!E25,
                    L24+M24
                )
            )
        )
    ),
)</f>
        <v>0</v>
      </c>
      <c r="L25" s="1">
        <f>M24+L24-'Order Side'!E25</f>
        <v>20</v>
      </c>
      <c r="M25" s="1">
        <f t="shared" si="4"/>
        <v>0</v>
      </c>
      <c r="N25" s="1">
        <f>'Order Side'!F25</f>
        <v>0</v>
      </c>
    </row>
    <row r="26" spans="1:14" x14ac:dyDescent="0.25">
      <c r="A26" s="2">
        <f t="shared" si="0"/>
        <v>25</v>
      </c>
      <c r="B26" s="1">
        <f ca="1">IF('Order Side'!G26,
    IF('Order Side'!B26 &lt;= C25,
        'Order Side'!B26,
        IF(I26&lt;0,
            IF(C25&gt;0,
                IF(C25+D25 &gt; 'Order Side'!B26,
                    'Order Side'!B26,
                    C25 + D25
                ),
                IF(D25 &gt;= 'Order Side'!B26 -C25,
                    'Order Side'!B26 -C25,
                    D25
                )
            ),
            IF(C25&lt;0,
                IF( D25 &gt;= 'Order Side'!B26 -C25,
                    'Order Side'!B26 -C25,
                    D25
                ),
                IF(C25+D25 &gt; 'Order Side'!B26,
                    'Order Side'!B26,
                    C25+D25
                )
            )
        )
    ),
)</f>
        <v>0</v>
      </c>
      <c r="C26" s="4">
        <f ca="1">D25+C25-'Order Side'!B26</f>
        <v>-201</v>
      </c>
      <c r="D26" s="1">
        <f t="shared" si="1"/>
        <v>0</v>
      </c>
      <c r="E26" s="1">
        <f>IF('Order Side'!G26,
    IF('Order Side'!C26 &lt;= F25,
        'Order Side'!C26,
        IF(I26&lt;0,
            IF(F25&gt;0,
                IF(F25+G25 &gt; 'Order Side'!C26,
                    'Order Side'!C26,
                    F25 + G25
                ),
                IF(G25 &gt;= 'Order Side'!C26 -F25,
                    'Order Side'!C26 -F25,
                    G25
                )
            ),
            IF(F25&lt;0,
                IF( G25 &gt;= 'Order Side'!C26 -F25,
                    'Order Side'!C26 -F25,
                    G25
                ),
                IF(F25+G25 &gt; 'Order Side'!C26,
                    'Order Side'!C26,
                    F25+G25
                )
            )
        )
    ),
)</f>
        <v>0</v>
      </c>
      <c r="F26" s="1">
        <f>G25+F25-'Order Side'!C26</f>
        <v>20</v>
      </c>
      <c r="G26" s="1">
        <f t="shared" si="2"/>
        <v>0</v>
      </c>
      <c r="H26" s="1">
        <f>IF('Order Side'!G26,
    IF('Order Side'!D26 &lt;= I25,
        'Order Side'!D26,
        IF(I26&lt;0,
            IF(I25&gt;0,
                IF(I25+J25 &gt; 'Order Side'!D26,
                    'Order Side'!D26,
                    I25 + J25
                ),
                IF(J25 &gt;= 'Order Side'!D26 -I25,
                    'Order Side'!D26 -I25,
                    J25
                )
            ),
            IF(I25&lt;0,
                IF( J25 &gt;= 'Order Side'!D26 -I25,
                    'Order Side'!D26 -I25,
                    J25
                ),
                IF(I25+J25 &gt; 'Order Side'!D26,
                    'Order Side'!D26,
                    I25+J25
                )
            )
        )
    ),
)</f>
        <v>0</v>
      </c>
      <c r="I26" s="1">
        <f>J25+I25-'Order Side'!D26</f>
        <v>20</v>
      </c>
      <c r="J26" s="1">
        <f t="shared" si="3"/>
        <v>0</v>
      </c>
      <c r="K26" s="1">
        <f>IF('Order Side'!G26,
    IF('Order Side'!E26 &lt;= L25,
        'Order Side'!E26,
        IF(L26&lt;0,
            IF(L25&gt;0,
                IF(L25+M25 &gt; 'Order Side'!E26,
                    'Order Side'!E26,
                    L25 + M25
                ),
                IF(M25 &gt;= 'Order Side'!E26 -L25,
                    'Order Side'!E26 -L25,
                    M25
                )
            ),
            IF(L25&lt;0,
                IF( M25 &gt;= 'Order Side'!E26 -L25,
                    'Order Side'!E26 -L25,
                    M25
                ),
                IF(L25+M25 &gt; 'Order Side'!E26,
                    'Order Side'!E26,
                    L25+M25
                )
            )
        )
    ),
)</f>
        <v>0</v>
      </c>
      <c r="L26" s="1">
        <f>M25+L25-'Order Side'!E26</f>
        <v>20</v>
      </c>
      <c r="M26" s="1">
        <f t="shared" si="4"/>
        <v>0</v>
      </c>
      <c r="N26" s="1">
        <f>'Order Side'!F26</f>
        <v>0</v>
      </c>
    </row>
    <row r="27" spans="1:14" x14ac:dyDescent="0.25">
      <c r="A27" s="2">
        <f t="shared" si="0"/>
        <v>26</v>
      </c>
      <c r="B27" s="1">
        <f ca="1">IF('Order Side'!G27,
    IF('Order Side'!B27 &lt;= C26,
        'Order Side'!B27,
        IF(I27&lt;0,
            IF(C26&gt;0,
                IF(C26+D26 &gt; 'Order Side'!B27,
                    'Order Side'!B27,
                    C26 + D26
                ),
                IF(D26 &gt;= 'Order Side'!B27 -C26,
                    'Order Side'!B27 -C26,
                    D26
                )
            ),
            IF(C26&lt;0,
                IF( D26 &gt;= 'Order Side'!B27 -C26,
                    'Order Side'!B27 -C26,
                    D26
                ),
                IF(C26+D26 &gt; 'Order Side'!B27,
                    'Order Side'!B27,
                    C26+D26
                )
            )
        )
    ),
)</f>
        <v>0</v>
      </c>
      <c r="C27" s="4">
        <f ca="1">D26+C26-'Order Side'!B27</f>
        <v>-213</v>
      </c>
      <c r="D27" s="1">
        <f t="shared" si="1"/>
        <v>0</v>
      </c>
      <c r="E27" s="1">
        <f>IF('Order Side'!G27,
    IF('Order Side'!C27 &lt;= F26,
        'Order Side'!C27,
        IF(I27&lt;0,
            IF(F26&gt;0,
                IF(F26+G26 &gt; 'Order Side'!C27,
                    'Order Side'!C27,
                    F26 + G26
                ),
                IF(G26 &gt;= 'Order Side'!C27 -F26,
                    'Order Side'!C27 -F26,
                    G26
                )
            ),
            IF(F26&lt;0,
                IF( G26 &gt;= 'Order Side'!C27 -F26,
                    'Order Side'!C27 -F26,
                    G26
                ),
                IF(F26+G26 &gt; 'Order Side'!C27,
                    'Order Side'!C27,
                    F26+G26
                )
            )
        )
    ),
)</f>
        <v>0</v>
      </c>
      <c r="F27" s="1">
        <f>G26+F26-'Order Side'!C27</f>
        <v>20</v>
      </c>
      <c r="G27" s="1">
        <f t="shared" si="2"/>
        <v>0</v>
      </c>
      <c r="H27" s="1">
        <f>IF('Order Side'!G27,
    IF('Order Side'!D27 &lt;= I26,
        'Order Side'!D27,
        IF(I27&lt;0,
            IF(I26&gt;0,
                IF(I26+J26 &gt; 'Order Side'!D27,
                    'Order Side'!D27,
                    I26 + J26
                ),
                IF(J26 &gt;= 'Order Side'!D27 -I26,
                    'Order Side'!D27 -I26,
                    J26
                )
            ),
            IF(I26&lt;0,
                IF( J26 &gt;= 'Order Side'!D27 -I26,
                    'Order Side'!D27 -I26,
                    J26
                ),
                IF(I26+J26 &gt; 'Order Side'!D27,
                    'Order Side'!D27,
                    I26+J26
                )
            )
        )
    ),
)</f>
        <v>0</v>
      </c>
      <c r="I27" s="1">
        <f>J26+I26-'Order Side'!D27</f>
        <v>20</v>
      </c>
      <c r="J27" s="1">
        <f t="shared" si="3"/>
        <v>0</v>
      </c>
      <c r="K27" s="1">
        <f>IF('Order Side'!G27,
    IF('Order Side'!E27 &lt;= L26,
        'Order Side'!E27,
        IF(L27&lt;0,
            IF(L26&gt;0,
                IF(L26+M26 &gt; 'Order Side'!E27,
                    'Order Side'!E27,
                    L26 + M26
                ),
                IF(M26 &gt;= 'Order Side'!E27 -L26,
                    'Order Side'!E27 -L26,
                    M26
                )
            ),
            IF(L26&lt;0,
                IF( M26 &gt;= 'Order Side'!E27 -L26,
                    'Order Side'!E27 -L26,
                    M26
                ),
                IF(L26+M26 &gt; 'Order Side'!E27,
                    'Order Side'!E27,
                    L26+M26
                )
            )
        )
    ),
)</f>
        <v>0</v>
      </c>
      <c r="L27" s="1">
        <f>M26+L26-'Order Side'!E27</f>
        <v>20</v>
      </c>
      <c r="M27" s="1">
        <f t="shared" si="4"/>
        <v>0</v>
      </c>
      <c r="N27" s="1">
        <f>'Order Side'!F27</f>
        <v>0</v>
      </c>
    </row>
    <row r="28" spans="1:14" x14ac:dyDescent="0.25">
      <c r="A28" s="2">
        <f t="shared" si="0"/>
        <v>27</v>
      </c>
      <c r="B28" s="1">
        <f ca="1">IF('Order Side'!G28,
    IF('Order Side'!B28 &lt;= C27,
        'Order Side'!B28,
        IF(I28&lt;0,
            IF(C27&gt;0,
                IF(C27+D27 &gt; 'Order Side'!B28,
                    'Order Side'!B28,
                    C27 + D27
                ),
                IF(D27 &gt;= 'Order Side'!B28 -C27,
                    'Order Side'!B28 -C27,
                    D27
                )
            ),
            IF(C27&lt;0,
                IF( D27 &gt;= 'Order Side'!B28 -C27,
                    'Order Side'!B28 -C27,
                    D27
                ),
                IF(C27+D27 &gt; 'Order Side'!B28,
                    'Order Side'!B28,
                    C27+D27
                )
            )
        )
    ),
)</f>
        <v>0</v>
      </c>
      <c r="C28" s="4">
        <f ca="1">D27+C27-'Order Side'!B28</f>
        <v>-225</v>
      </c>
      <c r="D28" s="1">
        <f t="shared" si="1"/>
        <v>0</v>
      </c>
      <c r="E28" s="1">
        <f>IF('Order Side'!G28,
    IF('Order Side'!C28 &lt;= F27,
        'Order Side'!C28,
        IF(I28&lt;0,
            IF(F27&gt;0,
                IF(F27+G27 &gt; 'Order Side'!C28,
                    'Order Side'!C28,
                    F27 + G27
                ),
                IF(G27 &gt;= 'Order Side'!C28 -F27,
                    'Order Side'!C28 -F27,
                    G27
                )
            ),
            IF(F27&lt;0,
                IF( G27 &gt;= 'Order Side'!C28 -F27,
                    'Order Side'!C28 -F27,
                    G27
                ),
                IF(F27+G27 &gt; 'Order Side'!C28,
                    'Order Side'!C28,
                    F27+G27
                )
            )
        )
    ),
)</f>
        <v>0</v>
      </c>
      <c r="F28" s="1">
        <f>G27+F27-'Order Side'!C28</f>
        <v>20</v>
      </c>
      <c r="G28" s="1">
        <f t="shared" si="2"/>
        <v>0</v>
      </c>
      <c r="H28" s="1">
        <f>IF('Order Side'!G28,
    IF('Order Side'!D28 &lt;= I27,
        'Order Side'!D28,
        IF(I28&lt;0,
            IF(I27&gt;0,
                IF(I27+J27 &gt; 'Order Side'!D28,
                    'Order Side'!D28,
                    I27 + J27
                ),
                IF(J27 &gt;= 'Order Side'!D28 -I27,
                    'Order Side'!D28 -I27,
                    J27
                )
            ),
            IF(I27&lt;0,
                IF( J27 &gt;= 'Order Side'!D28 -I27,
                    'Order Side'!D28 -I27,
                    J27
                ),
                IF(I27+J27 &gt; 'Order Side'!D28,
                    'Order Side'!D28,
                    I27+J27
                )
            )
        )
    ),
)</f>
        <v>0</v>
      </c>
      <c r="I28" s="1">
        <f>J27+I27-'Order Side'!D28</f>
        <v>20</v>
      </c>
      <c r="J28" s="1">
        <f t="shared" si="3"/>
        <v>0</v>
      </c>
      <c r="K28" s="1">
        <f>IF('Order Side'!G28,
    IF('Order Side'!E28 &lt;= L27,
        'Order Side'!E28,
        IF(L28&lt;0,
            IF(L27&gt;0,
                IF(L27+M27 &gt; 'Order Side'!E28,
                    'Order Side'!E28,
                    L27 + M27
                ),
                IF(M27 &gt;= 'Order Side'!E28 -L27,
                    'Order Side'!E28 -L27,
                    M27
                )
            ),
            IF(L27&lt;0,
                IF( M27 &gt;= 'Order Side'!E28 -L27,
                    'Order Side'!E28 -L27,
                    M27
                ),
                IF(L27+M27 &gt; 'Order Side'!E28,
                    'Order Side'!E28,
                    L27+M27
                )
            )
        )
    ),
)</f>
        <v>0</v>
      </c>
      <c r="L28" s="1">
        <f>M27+L27-'Order Side'!E28</f>
        <v>20</v>
      </c>
      <c r="M28" s="1">
        <f t="shared" si="4"/>
        <v>0</v>
      </c>
      <c r="N28" s="1">
        <f>'Order Side'!F28</f>
        <v>0</v>
      </c>
    </row>
    <row r="29" spans="1:14" x14ac:dyDescent="0.25">
      <c r="A29" s="2">
        <f t="shared" si="0"/>
        <v>28</v>
      </c>
      <c r="B29" s="1">
        <f ca="1">IF('Order Side'!G29,
    IF('Order Side'!B29 &lt;= C28,
        'Order Side'!B29,
        IF(I29&lt;0,
            IF(C28&gt;0,
                IF(C28+D28 &gt; 'Order Side'!B29,
                    'Order Side'!B29,
                    C28 + D28
                ),
                IF(D28 &gt;= 'Order Side'!B29 -C28,
                    'Order Side'!B29 -C28,
                    D28
                )
            ),
            IF(C28&lt;0,
                IF( D28 &gt;= 'Order Side'!B29 -C28,
                    'Order Side'!B29 -C28,
                    D28
                ),
                IF(C28+D28 &gt; 'Order Side'!B29,
                    'Order Side'!B29,
                    C28+D28
                )
            )
        )
    ),
)</f>
        <v>0</v>
      </c>
      <c r="C29" s="4">
        <f ca="1">D28+C28-'Order Side'!B29</f>
        <v>-237</v>
      </c>
      <c r="D29" s="1">
        <f t="shared" si="1"/>
        <v>0</v>
      </c>
      <c r="E29" s="1">
        <f>IF('Order Side'!G29,
    IF('Order Side'!C29 &lt;= F28,
        'Order Side'!C29,
        IF(I29&lt;0,
            IF(F28&gt;0,
                IF(F28+G28 &gt; 'Order Side'!C29,
                    'Order Side'!C29,
                    F28 + G28
                ),
                IF(G28 &gt;= 'Order Side'!C29 -F28,
                    'Order Side'!C29 -F28,
                    G28
                )
            ),
            IF(F28&lt;0,
                IF( G28 &gt;= 'Order Side'!C29 -F28,
                    'Order Side'!C29 -F28,
                    G28
                ),
                IF(F28+G28 &gt; 'Order Side'!C29,
                    'Order Side'!C29,
                    F28+G28
                )
            )
        )
    ),
)</f>
        <v>0</v>
      </c>
      <c r="F29" s="1">
        <f>G28+F28-'Order Side'!C29</f>
        <v>20</v>
      </c>
      <c r="G29" s="1">
        <f t="shared" si="2"/>
        <v>0</v>
      </c>
      <c r="H29" s="1">
        <f>IF('Order Side'!G29,
    IF('Order Side'!D29 &lt;= I28,
        'Order Side'!D29,
        IF(I29&lt;0,
            IF(I28&gt;0,
                IF(I28+J28 &gt; 'Order Side'!D29,
                    'Order Side'!D29,
                    I28 + J28
                ),
                IF(J28 &gt;= 'Order Side'!D29 -I28,
                    'Order Side'!D29 -I28,
                    J28
                )
            ),
            IF(I28&lt;0,
                IF( J28 &gt;= 'Order Side'!D29 -I28,
                    'Order Side'!D29 -I28,
                    J28
                ),
                IF(I28+J28 &gt; 'Order Side'!D29,
                    'Order Side'!D29,
                    I28+J28
                )
            )
        )
    ),
)</f>
        <v>0</v>
      </c>
      <c r="I29" s="1">
        <f>J28+I28-'Order Side'!D29</f>
        <v>20</v>
      </c>
      <c r="J29" s="1">
        <f t="shared" si="3"/>
        <v>0</v>
      </c>
      <c r="K29" s="1">
        <f>IF('Order Side'!G29,
    IF('Order Side'!E29 &lt;= L28,
        'Order Side'!E29,
        IF(L29&lt;0,
            IF(L28&gt;0,
                IF(L28+M28 &gt; 'Order Side'!E29,
                    'Order Side'!E29,
                    L28 + M28
                ),
                IF(M28 &gt;= 'Order Side'!E29 -L28,
                    'Order Side'!E29 -L28,
                    M28
                )
            ),
            IF(L28&lt;0,
                IF( M28 &gt;= 'Order Side'!E29 -L28,
                    'Order Side'!E29 -L28,
                    M28
                ),
                IF(L28+M28 &gt; 'Order Side'!E29,
                    'Order Side'!E29,
                    L28+M28
                )
            )
        )
    ),
)</f>
        <v>0</v>
      </c>
      <c r="L29" s="1">
        <f>M28+L28-'Order Side'!E29</f>
        <v>20</v>
      </c>
      <c r="M29" s="1">
        <f t="shared" si="4"/>
        <v>0</v>
      </c>
      <c r="N29" s="1">
        <f>'Order Side'!F29</f>
        <v>0</v>
      </c>
    </row>
    <row r="30" spans="1:14" x14ac:dyDescent="0.25">
      <c r="A30" s="2">
        <f t="shared" si="0"/>
        <v>29</v>
      </c>
      <c r="B30" s="1">
        <f ca="1">IF('Order Side'!G30,
    IF('Order Side'!B30 &lt;= C29,
        'Order Side'!B30,
        IF(I30&lt;0,
            IF(C29&gt;0,
                IF(C29+D29 &gt; 'Order Side'!B30,
                    'Order Side'!B30,
                    C29 + D29
                ),
                IF(D29 &gt;= 'Order Side'!B30 -C29,
                    'Order Side'!B30 -C29,
                    D29
                )
            ),
            IF(C29&lt;0,
                IF( D29 &gt;= 'Order Side'!B30 -C29,
                    'Order Side'!B30 -C29,
                    D29
                ),
                IF(C29+D29 &gt; 'Order Side'!B30,
                    'Order Side'!B30,
                    C29+D29
                )
            )
        )
    ),
)</f>
        <v>0</v>
      </c>
      <c r="C30" s="4">
        <f ca="1">D29+C29-'Order Side'!B30</f>
        <v>-249</v>
      </c>
      <c r="D30" s="1">
        <f t="shared" si="1"/>
        <v>0</v>
      </c>
      <c r="E30" s="1">
        <f>IF('Order Side'!G30,
    IF('Order Side'!C30 &lt;= F29,
        'Order Side'!C30,
        IF(I30&lt;0,
            IF(F29&gt;0,
                IF(F29+G29 &gt; 'Order Side'!C30,
                    'Order Side'!C30,
                    F29 + G29
                ),
                IF(G29 &gt;= 'Order Side'!C30 -F29,
                    'Order Side'!C30 -F29,
                    G29
                )
            ),
            IF(F29&lt;0,
                IF( G29 &gt;= 'Order Side'!C30 -F29,
                    'Order Side'!C30 -F29,
                    G29
                ),
                IF(F29+G29 &gt; 'Order Side'!C30,
                    'Order Side'!C30,
                    F29+G29
                )
            )
        )
    ),
)</f>
        <v>0</v>
      </c>
      <c r="F30" s="1">
        <f>G29+F29-'Order Side'!C30</f>
        <v>20</v>
      </c>
      <c r="G30" s="1">
        <f t="shared" si="2"/>
        <v>0</v>
      </c>
      <c r="H30" s="1">
        <f>IF('Order Side'!G30,
    IF('Order Side'!D30 &lt;= I29,
        'Order Side'!D30,
        IF(I30&lt;0,
            IF(I29&gt;0,
                IF(I29+J29 &gt; 'Order Side'!D30,
                    'Order Side'!D30,
                    I29 + J29
                ),
                IF(J29 &gt;= 'Order Side'!D30 -I29,
                    'Order Side'!D30 -I29,
                    J29
                )
            ),
            IF(I29&lt;0,
                IF( J29 &gt;= 'Order Side'!D30 -I29,
                    'Order Side'!D30 -I29,
                    J29
                ),
                IF(I29+J29 &gt; 'Order Side'!D30,
                    'Order Side'!D30,
                    I29+J29
                )
            )
        )
    ),
)</f>
        <v>0</v>
      </c>
      <c r="I30" s="1">
        <f>J29+I29-'Order Side'!D30</f>
        <v>20</v>
      </c>
      <c r="J30" s="1">
        <f t="shared" si="3"/>
        <v>0</v>
      </c>
      <c r="K30" s="1">
        <f>IF('Order Side'!G30,
    IF('Order Side'!E30 &lt;= L29,
        'Order Side'!E30,
        IF(L30&lt;0,
            IF(L29&gt;0,
                IF(L29+M29 &gt; 'Order Side'!E30,
                    'Order Side'!E30,
                    L29 + M29
                ),
                IF(M29 &gt;= 'Order Side'!E30 -L29,
                    'Order Side'!E30 -L29,
                    M29
                )
            ),
            IF(L29&lt;0,
                IF( M29 &gt;= 'Order Side'!E30 -L29,
                    'Order Side'!E30 -L29,
                    M29
                ),
                IF(L29+M29 &gt; 'Order Side'!E30,
                    'Order Side'!E30,
                    L29+M29
                )
            )
        )
    ),
)</f>
        <v>0</v>
      </c>
      <c r="L30" s="1">
        <f>M29+L29-'Order Side'!E30</f>
        <v>20</v>
      </c>
      <c r="M30" s="1">
        <f t="shared" si="4"/>
        <v>0</v>
      </c>
      <c r="N30" s="1">
        <f>'Order Side'!F30</f>
        <v>0</v>
      </c>
    </row>
    <row r="31" spans="1:14" x14ac:dyDescent="0.25">
      <c r="A31" s="2">
        <f t="shared" si="0"/>
        <v>30</v>
      </c>
      <c r="B31" s="1">
        <f ca="1">IF('Order Side'!G31,
    IF('Order Side'!B31 &lt;= C30,
        'Order Side'!B31,
        IF(I31&lt;0,
            IF(C30&gt;0,
                IF(C30+D30 &gt; 'Order Side'!B31,
                    'Order Side'!B31,
                    C30 + D30
                ),
                IF(D30 &gt;= 'Order Side'!B31 -C30,
                    'Order Side'!B31 -C30,
                    D30
                )
            ),
            IF(C30&lt;0,
                IF( D30 &gt;= 'Order Side'!B31 -C30,
                    'Order Side'!B31 -C30,
                    D30
                ),
                IF(C30+D30 &gt; 'Order Side'!B31,
                    'Order Side'!B31,
                    C30+D30
                )
            )
        )
    ),
)</f>
        <v>0</v>
      </c>
      <c r="C31" s="4">
        <f ca="1">D30+C30-'Order Side'!B31</f>
        <v>-261</v>
      </c>
      <c r="D31" s="1">
        <f t="shared" si="1"/>
        <v>0</v>
      </c>
      <c r="E31" s="1">
        <f>IF('Order Side'!G31,
    IF('Order Side'!C31 &lt;= F30,
        'Order Side'!C31,
        IF(I31&lt;0,
            IF(F30&gt;0,
                IF(F30+G30 &gt; 'Order Side'!C31,
                    'Order Side'!C31,
                    F30 + G30
                ),
                IF(G30 &gt;= 'Order Side'!C31 -F30,
                    'Order Side'!C31 -F30,
                    G30
                )
            ),
            IF(F30&lt;0,
                IF( G30 &gt;= 'Order Side'!C31 -F30,
                    'Order Side'!C31 -F30,
                    G30
                ),
                IF(F30+G30 &gt; 'Order Side'!C31,
                    'Order Side'!C31,
                    F30+G30
                )
            )
        )
    ),
)</f>
        <v>0</v>
      </c>
      <c r="F31" s="1">
        <f>G30+F30-'Order Side'!C31</f>
        <v>20</v>
      </c>
      <c r="G31" s="1">
        <f t="shared" si="2"/>
        <v>0</v>
      </c>
      <c r="H31" s="1">
        <f>IF('Order Side'!G31,
    IF('Order Side'!D31 &lt;= I30,
        'Order Side'!D31,
        IF(I31&lt;0,
            IF(I30&gt;0,
                IF(I30+J30 &gt; 'Order Side'!D31,
                    'Order Side'!D31,
                    I30 + J30
                ),
                IF(J30 &gt;= 'Order Side'!D31 -I30,
                    'Order Side'!D31 -I30,
                    J30
                )
            ),
            IF(I30&lt;0,
                IF( J30 &gt;= 'Order Side'!D31 -I30,
                    'Order Side'!D31 -I30,
                    J30
                ),
                IF(I30+J30 &gt; 'Order Side'!D31,
                    'Order Side'!D31,
                    I30+J30
                )
            )
        )
    ),
)</f>
        <v>0</v>
      </c>
      <c r="I31" s="1">
        <f>J30+I30-'Order Side'!D31</f>
        <v>20</v>
      </c>
      <c r="J31" s="1">
        <f t="shared" si="3"/>
        <v>0</v>
      </c>
      <c r="K31" s="1">
        <f>IF('Order Side'!G31,
    IF('Order Side'!E31 &lt;= L30,
        'Order Side'!E31,
        IF(L31&lt;0,
            IF(L30&gt;0,
                IF(L30+M30 &gt; 'Order Side'!E31,
                    'Order Side'!E31,
                    L30 + M30
                ),
                IF(M30 &gt;= 'Order Side'!E31 -L30,
                    'Order Side'!E31 -L30,
                    M30
                )
            ),
            IF(L30&lt;0,
                IF( M30 &gt;= 'Order Side'!E31 -L30,
                    'Order Side'!E31 -L30,
                    M30
                ),
                IF(L30+M30 &gt; 'Order Side'!E31,
                    'Order Side'!E31,
                    L30+M30
                )
            )
        )
    ),
)</f>
        <v>0</v>
      </c>
      <c r="L31" s="1">
        <f>M30+L30-'Order Side'!E31</f>
        <v>20</v>
      </c>
      <c r="M31" s="1">
        <f t="shared" si="4"/>
        <v>0</v>
      </c>
      <c r="N31" s="1">
        <f>'Order Side'!F31</f>
        <v>0</v>
      </c>
    </row>
    <row r="32" spans="1:14" x14ac:dyDescent="0.25">
      <c r="A32" s="2">
        <f t="shared" si="0"/>
        <v>31</v>
      </c>
      <c r="B32" s="1">
        <f ca="1">IF('Order Side'!G32,
    IF('Order Side'!B32 &lt;= C31,
        'Order Side'!B32,
        IF(I32&lt;0,
            IF(C31&gt;0,
                IF(C31+D31 &gt; 'Order Side'!B32,
                    'Order Side'!B32,
                    C31 + D31
                ),
                IF(D31 &gt;= 'Order Side'!B32 -C31,
                    'Order Side'!B32 -C31,
                    D31
                )
            ),
            IF(C31&lt;0,
                IF( D31 &gt;= 'Order Side'!B32 -C31,
                    'Order Side'!B32 -C31,
                    D31
                ),
                IF(C31+D31 &gt; 'Order Side'!B32,
                    'Order Side'!B32,
                    C31+D31
                )
            )
        )
    ),
)</f>
        <v>0</v>
      </c>
      <c r="C32" s="4">
        <f ca="1">D31+C31-'Order Side'!B32</f>
        <v>-273</v>
      </c>
      <c r="D32" s="1">
        <f t="shared" si="1"/>
        <v>0</v>
      </c>
      <c r="E32" s="1">
        <f>IF('Order Side'!G32,
    IF('Order Side'!C32 &lt;= F31,
        'Order Side'!C32,
        IF(I32&lt;0,
            IF(F31&gt;0,
                IF(F31+G31 &gt; 'Order Side'!C32,
                    'Order Side'!C32,
                    F31 + G31
                ),
                IF(G31 &gt;= 'Order Side'!C32 -F31,
                    'Order Side'!C32 -F31,
                    G31
                )
            ),
            IF(F31&lt;0,
                IF( G31 &gt;= 'Order Side'!C32 -F31,
                    'Order Side'!C32 -F31,
                    G31
                ),
                IF(F31+G31 &gt; 'Order Side'!C32,
                    'Order Side'!C32,
                    F31+G31
                )
            )
        )
    ),
)</f>
        <v>0</v>
      </c>
      <c r="F32" s="1">
        <f>G31+F31-'Order Side'!C32</f>
        <v>20</v>
      </c>
      <c r="G32" s="1">
        <f t="shared" si="2"/>
        <v>0</v>
      </c>
      <c r="H32" s="1">
        <f>IF('Order Side'!G32,
    IF('Order Side'!D32 &lt;= I31,
        'Order Side'!D32,
        IF(I32&lt;0,
            IF(I31&gt;0,
                IF(I31+J31 &gt; 'Order Side'!D32,
                    'Order Side'!D32,
                    I31 + J31
                ),
                IF(J31 &gt;= 'Order Side'!D32 -I31,
                    'Order Side'!D32 -I31,
                    J31
                )
            ),
            IF(I31&lt;0,
                IF( J31 &gt;= 'Order Side'!D32 -I31,
                    'Order Side'!D32 -I31,
                    J31
                ),
                IF(I31+J31 &gt; 'Order Side'!D32,
                    'Order Side'!D32,
                    I31+J31
                )
            )
        )
    ),
)</f>
        <v>0</v>
      </c>
      <c r="I32" s="1">
        <f>J31+I31-'Order Side'!D32</f>
        <v>20</v>
      </c>
      <c r="J32" s="1">
        <f t="shared" si="3"/>
        <v>0</v>
      </c>
      <c r="K32" s="1">
        <f>IF('Order Side'!G32,
    IF('Order Side'!E32 &lt;= L31,
        'Order Side'!E32,
        IF(L32&lt;0,
            IF(L31&gt;0,
                IF(L31+M31 &gt; 'Order Side'!E32,
                    'Order Side'!E32,
                    L31 + M31
                ),
                IF(M31 &gt;= 'Order Side'!E32 -L31,
                    'Order Side'!E32 -L31,
                    M31
                )
            ),
            IF(L31&lt;0,
                IF( M31 &gt;= 'Order Side'!E32 -L31,
                    'Order Side'!E32 -L31,
                    M31
                ),
                IF(L31+M31 &gt; 'Order Side'!E32,
                    'Order Side'!E32,
                    L31+M31
                )
            )
        )
    ),
)</f>
        <v>0</v>
      </c>
      <c r="L32" s="1">
        <f>M31+L31-'Order Side'!E32</f>
        <v>20</v>
      </c>
      <c r="M32" s="1">
        <f t="shared" si="4"/>
        <v>0</v>
      </c>
      <c r="N32" s="1">
        <f>'Order Side'!F32</f>
        <v>0</v>
      </c>
    </row>
    <row r="33" spans="1:14" x14ac:dyDescent="0.25">
      <c r="A33" s="2">
        <f t="shared" si="0"/>
        <v>32</v>
      </c>
      <c r="B33" s="1">
        <f ca="1">IF('Order Side'!G33,
    IF('Order Side'!B33 &lt;= C32,
        'Order Side'!B33,
        IF(I33&lt;0,
            IF(C32&gt;0,
                IF(C32+D32 &gt; 'Order Side'!B33,
                    'Order Side'!B33,
                    C32 + D32
                ),
                IF(D32 &gt;= 'Order Side'!B33 -C32,
                    'Order Side'!B33 -C32,
                    D32
                )
            ),
            IF(C32&lt;0,
                IF( D32 &gt;= 'Order Side'!B33 -C32,
                    'Order Side'!B33 -C32,
                    D32
                ),
                IF(C32+D32 &gt; 'Order Side'!B33,
                    'Order Side'!B33,
                    C32+D32
                )
            )
        )
    ),
)</f>
        <v>0</v>
      </c>
      <c r="C33" s="4">
        <f ca="1">D32+C32-'Order Side'!B33</f>
        <v>-285</v>
      </c>
      <c r="D33" s="1">
        <f t="shared" si="1"/>
        <v>0</v>
      </c>
      <c r="E33" s="1">
        <f>IF('Order Side'!G33,
    IF('Order Side'!C33 &lt;= F32,
        'Order Side'!C33,
        IF(I33&lt;0,
            IF(F32&gt;0,
                IF(F32+G32 &gt; 'Order Side'!C33,
                    'Order Side'!C33,
                    F32 + G32
                ),
                IF(G32 &gt;= 'Order Side'!C33 -F32,
                    'Order Side'!C33 -F32,
                    G32
                )
            ),
            IF(F32&lt;0,
                IF( G32 &gt;= 'Order Side'!C33 -F32,
                    'Order Side'!C33 -F32,
                    G32
                ),
                IF(F32+G32 &gt; 'Order Side'!C33,
                    'Order Side'!C33,
                    F32+G32
                )
            )
        )
    ),
)</f>
        <v>0</v>
      </c>
      <c r="F33" s="1">
        <f>G32+F32-'Order Side'!C33</f>
        <v>20</v>
      </c>
      <c r="G33" s="1">
        <f t="shared" si="2"/>
        <v>0</v>
      </c>
      <c r="H33" s="1">
        <f>IF('Order Side'!G33,
    IF('Order Side'!D33 &lt;= I32,
        'Order Side'!D33,
        IF(I33&lt;0,
            IF(I32&gt;0,
                IF(I32+J32 &gt; 'Order Side'!D33,
                    'Order Side'!D33,
                    I32 + J32
                ),
                IF(J32 &gt;= 'Order Side'!D33 -I32,
                    'Order Side'!D33 -I32,
                    J32
                )
            ),
            IF(I32&lt;0,
                IF( J32 &gt;= 'Order Side'!D33 -I32,
                    'Order Side'!D33 -I32,
                    J32
                ),
                IF(I32+J32 &gt; 'Order Side'!D33,
                    'Order Side'!D33,
                    I32+J32
                )
            )
        )
    ),
)</f>
        <v>0</v>
      </c>
      <c r="I33" s="1">
        <f>J32+I32-'Order Side'!D33</f>
        <v>20</v>
      </c>
      <c r="J33" s="1">
        <f t="shared" si="3"/>
        <v>0</v>
      </c>
      <c r="K33" s="1">
        <f>IF('Order Side'!G33,
    IF('Order Side'!E33 &lt;= L32,
        'Order Side'!E33,
        IF(L33&lt;0,
            IF(L32&gt;0,
                IF(L32+M32 &gt; 'Order Side'!E33,
                    'Order Side'!E33,
                    L32 + M32
                ),
                IF(M32 &gt;= 'Order Side'!E33 -L32,
                    'Order Side'!E33 -L32,
                    M32
                )
            ),
            IF(L32&lt;0,
                IF( M32 &gt;= 'Order Side'!E33 -L32,
                    'Order Side'!E33 -L32,
                    M32
                ),
                IF(L32+M32 &gt; 'Order Side'!E33,
                    'Order Side'!E33,
                    L32+M32
                )
            )
        )
    ),
)</f>
        <v>0</v>
      </c>
      <c r="L33" s="1">
        <f>M32+L32-'Order Side'!E33</f>
        <v>20</v>
      </c>
      <c r="M33" s="1">
        <f t="shared" si="4"/>
        <v>0</v>
      </c>
      <c r="N33" s="1">
        <f>'Order Side'!F33</f>
        <v>0</v>
      </c>
    </row>
    <row r="34" spans="1:14" x14ac:dyDescent="0.25">
      <c r="A34" s="2">
        <f t="shared" si="0"/>
        <v>33</v>
      </c>
      <c r="B34" s="1">
        <f ca="1">IF('Order Side'!G34,
    IF('Order Side'!B34 &lt;= C33,
        'Order Side'!B34,
        IF(I34&lt;0,
            IF(C33&gt;0,
                IF(C33+D33 &gt; 'Order Side'!B34,
                    'Order Side'!B34,
                    C33 + D33
                ),
                IF(D33 &gt;= 'Order Side'!B34 -C33,
                    'Order Side'!B34 -C33,
                    D33
                )
            ),
            IF(C33&lt;0,
                IF( D33 &gt;= 'Order Side'!B34 -C33,
                    'Order Side'!B34 -C33,
                    D33
                ),
                IF(C33+D33 &gt; 'Order Side'!B34,
                    'Order Side'!B34,
                    C33+D33
                )
            )
        )
    ),
)</f>
        <v>0</v>
      </c>
      <c r="C34" s="4">
        <f ca="1">D33+C33-'Order Side'!B34</f>
        <v>-297</v>
      </c>
      <c r="D34" s="1">
        <f t="shared" si="1"/>
        <v>0</v>
      </c>
      <c r="E34" s="1">
        <f>IF('Order Side'!G34,
    IF('Order Side'!C34 &lt;= F33,
        'Order Side'!C34,
        IF(I34&lt;0,
            IF(F33&gt;0,
                IF(F33+G33 &gt; 'Order Side'!C34,
                    'Order Side'!C34,
                    F33 + G33
                ),
                IF(G33 &gt;= 'Order Side'!C34 -F33,
                    'Order Side'!C34 -F33,
                    G33
                )
            ),
            IF(F33&lt;0,
                IF( G33 &gt;= 'Order Side'!C34 -F33,
                    'Order Side'!C34 -F33,
                    G33
                ),
                IF(F33+G33 &gt; 'Order Side'!C34,
                    'Order Side'!C34,
                    F33+G33
                )
            )
        )
    ),
)</f>
        <v>0</v>
      </c>
      <c r="F34" s="1">
        <f>G33+F33-'Order Side'!C34</f>
        <v>20</v>
      </c>
      <c r="G34" s="1">
        <f t="shared" si="2"/>
        <v>0</v>
      </c>
      <c r="H34" s="1">
        <f>IF('Order Side'!G34,
    IF('Order Side'!D34 &lt;= I33,
        'Order Side'!D34,
        IF(I34&lt;0,
            IF(I33&gt;0,
                IF(I33+J33 &gt; 'Order Side'!D34,
                    'Order Side'!D34,
                    I33 + J33
                ),
                IF(J33 &gt;= 'Order Side'!D34 -I33,
                    'Order Side'!D34 -I33,
                    J33
                )
            ),
            IF(I33&lt;0,
                IF( J33 &gt;= 'Order Side'!D34 -I33,
                    'Order Side'!D34 -I33,
                    J33
                ),
                IF(I33+J33 &gt; 'Order Side'!D34,
                    'Order Side'!D34,
                    I33+J33
                )
            )
        )
    ),
)</f>
        <v>0</v>
      </c>
      <c r="I34" s="1">
        <f>J33+I33-'Order Side'!D34</f>
        <v>20</v>
      </c>
      <c r="J34" s="1">
        <f t="shared" si="3"/>
        <v>0</v>
      </c>
      <c r="K34" s="1">
        <f>IF('Order Side'!G34,
    IF('Order Side'!E34 &lt;= L33,
        'Order Side'!E34,
        IF(L34&lt;0,
            IF(L33&gt;0,
                IF(L33+M33 &gt; 'Order Side'!E34,
                    'Order Side'!E34,
                    L33 + M33
                ),
                IF(M33 &gt;= 'Order Side'!E34 -L33,
                    'Order Side'!E34 -L33,
                    M33
                )
            ),
            IF(L33&lt;0,
                IF( M33 &gt;= 'Order Side'!E34 -L33,
                    'Order Side'!E34 -L33,
                    M33
                ),
                IF(L33+M33 &gt; 'Order Side'!E34,
                    'Order Side'!E34,
                    L33+M33
                )
            )
        )
    ),
)</f>
        <v>0</v>
      </c>
      <c r="L34" s="1">
        <f>M33+L33-'Order Side'!E34</f>
        <v>20</v>
      </c>
      <c r="M34" s="1">
        <f t="shared" si="4"/>
        <v>0</v>
      </c>
      <c r="N34" s="1">
        <f>'Order Side'!F34</f>
        <v>0</v>
      </c>
    </row>
    <row r="35" spans="1:14" x14ac:dyDescent="0.25">
      <c r="A35" s="2">
        <f t="shared" si="0"/>
        <v>34</v>
      </c>
      <c r="B35" s="1">
        <f ca="1">IF('Order Side'!G35,
    IF('Order Side'!B35 &lt;= C34,
        'Order Side'!B35,
        IF(I35&lt;0,
            IF(C34&gt;0,
                IF(C34+D34 &gt; 'Order Side'!B35,
                    'Order Side'!B35,
                    C34 + D34
                ),
                IF(D34 &gt;= 'Order Side'!B35 -C34,
                    'Order Side'!B35 -C34,
                    D34
                )
            ),
            IF(C34&lt;0,
                IF( D34 &gt;= 'Order Side'!B35 -C34,
                    'Order Side'!B35 -C34,
                    D34
                ),
                IF(C34+D34 &gt; 'Order Side'!B35,
                    'Order Side'!B35,
                    C34+D34
                )
            )
        )
    ),
)</f>
        <v>0</v>
      </c>
      <c r="C35" s="4">
        <f ca="1">D34+C34-'Order Side'!B35</f>
        <v>-309</v>
      </c>
      <c r="D35" s="1">
        <f t="shared" si="1"/>
        <v>0</v>
      </c>
      <c r="E35" s="1">
        <f>IF('Order Side'!G35,
    IF('Order Side'!C35 &lt;= F34,
        'Order Side'!C35,
        IF(I35&lt;0,
            IF(F34&gt;0,
                IF(F34+G34 &gt; 'Order Side'!C35,
                    'Order Side'!C35,
                    F34 + G34
                ),
                IF(G34 &gt;= 'Order Side'!C35 -F34,
                    'Order Side'!C35 -F34,
                    G34
                )
            ),
            IF(F34&lt;0,
                IF( G34 &gt;= 'Order Side'!C35 -F34,
                    'Order Side'!C35 -F34,
                    G34
                ),
                IF(F34+G34 &gt; 'Order Side'!C35,
                    'Order Side'!C35,
                    F34+G34
                )
            )
        )
    ),
)</f>
        <v>0</v>
      </c>
      <c r="F35" s="1">
        <f>G34+F34-'Order Side'!C35</f>
        <v>20</v>
      </c>
      <c r="G35" s="1">
        <f t="shared" si="2"/>
        <v>0</v>
      </c>
      <c r="H35" s="1">
        <f>IF('Order Side'!G35,
    IF('Order Side'!D35 &lt;= I34,
        'Order Side'!D35,
        IF(I35&lt;0,
            IF(I34&gt;0,
                IF(I34+J34 &gt; 'Order Side'!D35,
                    'Order Side'!D35,
                    I34 + J34
                ),
                IF(J34 &gt;= 'Order Side'!D35 -I34,
                    'Order Side'!D35 -I34,
                    J34
                )
            ),
            IF(I34&lt;0,
                IF( J34 &gt;= 'Order Side'!D35 -I34,
                    'Order Side'!D35 -I34,
                    J34
                ),
                IF(I34+J34 &gt; 'Order Side'!D35,
                    'Order Side'!D35,
                    I34+J34
                )
            )
        )
    ),
)</f>
        <v>0</v>
      </c>
      <c r="I35" s="1">
        <f>J34+I34-'Order Side'!D35</f>
        <v>20</v>
      </c>
      <c r="J35" s="1">
        <f t="shared" si="3"/>
        <v>0</v>
      </c>
      <c r="K35" s="1">
        <f>IF('Order Side'!G35,
    IF('Order Side'!E35 &lt;= L34,
        'Order Side'!E35,
        IF(L35&lt;0,
            IF(L34&gt;0,
                IF(L34+M34 &gt; 'Order Side'!E35,
                    'Order Side'!E35,
                    L34 + M34
                ),
                IF(M34 &gt;= 'Order Side'!E35 -L34,
                    'Order Side'!E35 -L34,
                    M34
                )
            ),
            IF(L34&lt;0,
                IF( M34 &gt;= 'Order Side'!E35 -L34,
                    'Order Side'!E35 -L34,
                    M34
                ),
                IF(L34+M34 &gt; 'Order Side'!E35,
                    'Order Side'!E35,
                    L34+M34
                )
            )
        )
    ),
)</f>
        <v>0</v>
      </c>
      <c r="L35" s="1">
        <f>M34+L34-'Order Side'!E35</f>
        <v>20</v>
      </c>
      <c r="M35" s="1">
        <f t="shared" si="4"/>
        <v>0</v>
      </c>
      <c r="N35" s="1">
        <f>'Order Side'!F35</f>
        <v>0</v>
      </c>
    </row>
    <row r="36" spans="1:14" x14ac:dyDescent="0.25">
      <c r="A36" s="2">
        <f t="shared" si="0"/>
        <v>35</v>
      </c>
      <c r="B36" s="1">
        <f ca="1">IF('Order Side'!G36,
    IF('Order Side'!B36 &lt;= C35,
        'Order Side'!B36,
        IF(I36&lt;0,
            IF(C35&gt;0,
                IF(C35+D35 &gt; 'Order Side'!B36,
                    'Order Side'!B36,
                    C35 + D35
                ),
                IF(D35 &gt;= 'Order Side'!B36 -C35,
                    'Order Side'!B36 -C35,
                    D35
                )
            ),
            IF(C35&lt;0,
                IF( D35 &gt;= 'Order Side'!B36 -C35,
                    'Order Side'!B36 -C35,
                    D35
                ),
                IF(C35+D35 &gt; 'Order Side'!B36,
                    'Order Side'!B36,
                    C35+D35
                )
            )
        )
    ),
)</f>
        <v>0</v>
      </c>
      <c r="C36" s="4">
        <f ca="1">D35+C35-'Order Side'!B36</f>
        <v>-321</v>
      </c>
      <c r="D36" s="1">
        <f t="shared" si="1"/>
        <v>0</v>
      </c>
      <c r="E36" s="1">
        <f>IF('Order Side'!G36,
    IF('Order Side'!C36 &lt;= F35,
        'Order Side'!C36,
        IF(I36&lt;0,
            IF(F35&gt;0,
                IF(F35+G35 &gt; 'Order Side'!C36,
                    'Order Side'!C36,
                    F35 + G35
                ),
                IF(G35 &gt;= 'Order Side'!C36 -F35,
                    'Order Side'!C36 -F35,
                    G35
                )
            ),
            IF(F35&lt;0,
                IF( G35 &gt;= 'Order Side'!C36 -F35,
                    'Order Side'!C36 -F35,
                    G35
                ),
                IF(F35+G35 &gt; 'Order Side'!C36,
                    'Order Side'!C36,
                    F35+G35
                )
            )
        )
    ),
)</f>
        <v>0</v>
      </c>
      <c r="F36" s="1">
        <f>G35+F35-'Order Side'!C36</f>
        <v>20</v>
      </c>
      <c r="G36" s="1">
        <f t="shared" si="2"/>
        <v>0</v>
      </c>
      <c r="H36" s="1">
        <f>IF('Order Side'!G36,
    IF('Order Side'!D36 &lt;= I35,
        'Order Side'!D36,
        IF(I36&lt;0,
            IF(I35&gt;0,
                IF(I35+J35 &gt; 'Order Side'!D36,
                    'Order Side'!D36,
                    I35 + J35
                ),
                IF(J35 &gt;= 'Order Side'!D36 -I35,
                    'Order Side'!D36 -I35,
                    J35
                )
            ),
            IF(I35&lt;0,
                IF( J35 &gt;= 'Order Side'!D36 -I35,
                    'Order Side'!D36 -I35,
                    J35
                ),
                IF(I35+J35 &gt; 'Order Side'!D36,
                    'Order Side'!D36,
                    I35+J35
                )
            )
        )
    ),
)</f>
        <v>0</v>
      </c>
      <c r="I36" s="1">
        <f>J35+I35-'Order Side'!D36</f>
        <v>20</v>
      </c>
      <c r="J36" s="1">
        <f t="shared" si="3"/>
        <v>0</v>
      </c>
      <c r="K36" s="1">
        <f>IF('Order Side'!G36,
    IF('Order Side'!E36 &lt;= L35,
        'Order Side'!E36,
        IF(L36&lt;0,
            IF(L35&gt;0,
                IF(L35+M35 &gt; 'Order Side'!E36,
                    'Order Side'!E36,
                    L35 + M35
                ),
                IF(M35 &gt;= 'Order Side'!E36 -L35,
                    'Order Side'!E36 -L35,
                    M35
                )
            ),
            IF(L35&lt;0,
                IF( M35 &gt;= 'Order Side'!E36 -L35,
                    'Order Side'!E36 -L35,
                    M35
                ),
                IF(L35+M35 &gt; 'Order Side'!E36,
                    'Order Side'!E36,
                    L35+M35
                )
            )
        )
    ),
)</f>
        <v>0</v>
      </c>
      <c r="L36" s="1">
        <f>M35+L35-'Order Side'!E36</f>
        <v>20</v>
      </c>
      <c r="M36" s="1">
        <f t="shared" si="4"/>
        <v>0</v>
      </c>
      <c r="N36" s="1">
        <f>'Order Side'!F36</f>
        <v>0</v>
      </c>
    </row>
    <row r="37" spans="1:14" x14ac:dyDescent="0.25">
      <c r="A37" s="2">
        <f t="shared" si="0"/>
        <v>36</v>
      </c>
      <c r="B37" s="1">
        <f ca="1">IF('Order Side'!G37,
    IF('Order Side'!B37 &lt;= C36,
        'Order Side'!B37,
        IF(I37&lt;0,
            IF(C36&gt;0,
                IF(C36+D36 &gt; 'Order Side'!B37,
                    'Order Side'!B37,
                    C36 + D36
                ),
                IF(D36 &gt;= 'Order Side'!B37 -C36,
                    'Order Side'!B37 -C36,
                    D36
                )
            ),
            IF(C36&lt;0,
                IF( D36 &gt;= 'Order Side'!B37 -C36,
                    'Order Side'!B37 -C36,
                    D36
                ),
                IF(C36+D36 &gt; 'Order Side'!B37,
                    'Order Side'!B37,
                    C36+D36
                )
            )
        )
    ),
)</f>
        <v>0</v>
      </c>
      <c r="C37" s="4">
        <f ca="1">D36+C36-'Order Side'!B37</f>
        <v>-333</v>
      </c>
      <c r="D37" s="1">
        <f t="shared" si="1"/>
        <v>0</v>
      </c>
      <c r="E37" s="1">
        <f>IF('Order Side'!G37,
    IF('Order Side'!C37 &lt;= F36,
        'Order Side'!C37,
        IF(I37&lt;0,
            IF(F36&gt;0,
                IF(F36+G36 &gt; 'Order Side'!C37,
                    'Order Side'!C37,
                    F36 + G36
                ),
                IF(G36 &gt;= 'Order Side'!C37 -F36,
                    'Order Side'!C37 -F36,
                    G36
                )
            ),
            IF(F36&lt;0,
                IF( G36 &gt;= 'Order Side'!C37 -F36,
                    'Order Side'!C37 -F36,
                    G36
                ),
                IF(F36+G36 &gt; 'Order Side'!C37,
                    'Order Side'!C37,
                    F36+G36
                )
            )
        )
    ),
)</f>
        <v>0</v>
      </c>
      <c r="F37" s="1">
        <f>G36+F36-'Order Side'!C37</f>
        <v>20</v>
      </c>
      <c r="G37" s="1">
        <f t="shared" si="2"/>
        <v>0</v>
      </c>
      <c r="H37" s="1">
        <f>IF('Order Side'!G37,
    IF('Order Side'!D37 &lt;= I36,
        'Order Side'!D37,
        IF(I37&lt;0,
            IF(I36&gt;0,
                IF(I36+J36 &gt; 'Order Side'!D37,
                    'Order Side'!D37,
                    I36 + J36
                ),
                IF(J36 &gt;= 'Order Side'!D37 -I36,
                    'Order Side'!D37 -I36,
                    J36
                )
            ),
            IF(I36&lt;0,
                IF( J36 &gt;= 'Order Side'!D37 -I36,
                    'Order Side'!D37 -I36,
                    J36
                ),
                IF(I36+J36 &gt; 'Order Side'!D37,
                    'Order Side'!D37,
                    I36+J36
                )
            )
        )
    ),
)</f>
        <v>0</v>
      </c>
      <c r="I37" s="1">
        <f>J36+I36-'Order Side'!D37</f>
        <v>20</v>
      </c>
      <c r="J37" s="1">
        <f t="shared" si="3"/>
        <v>0</v>
      </c>
      <c r="K37" s="1">
        <f>IF('Order Side'!G37,
    IF('Order Side'!E37 &lt;= L36,
        'Order Side'!E37,
        IF(L37&lt;0,
            IF(L36&gt;0,
                IF(L36+M36 &gt; 'Order Side'!E37,
                    'Order Side'!E37,
                    L36 + M36
                ),
                IF(M36 &gt;= 'Order Side'!E37 -L36,
                    'Order Side'!E37 -L36,
                    M36
                )
            ),
            IF(L36&lt;0,
                IF( M36 &gt;= 'Order Side'!E37 -L36,
                    'Order Side'!E37 -L36,
                    M36
                ),
                IF(L36+M36 &gt; 'Order Side'!E37,
                    'Order Side'!E37,
                    L36+M36
                )
            )
        )
    ),
)</f>
        <v>0</v>
      </c>
      <c r="L37" s="1">
        <f>M36+L36-'Order Side'!E37</f>
        <v>20</v>
      </c>
      <c r="M37" s="1">
        <f t="shared" si="4"/>
        <v>0</v>
      </c>
      <c r="N37" s="1">
        <f>'Order Side'!F37</f>
        <v>0</v>
      </c>
    </row>
    <row r="38" spans="1:14" x14ac:dyDescent="0.25">
      <c r="A38" s="2">
        <f t="shared" si="0"/>
        <v>37</v>
      </c>
      <c r="B38" s="1">
        <f ca="1">IF('Order Side'!G38,
    IF('Order Side'!B38 &lt;= C37,
        'Order Side'!B38,
        IF(I38&lt;0,
            IF(C37&gt;0,
                IF(C37+D37 &gt; 'Order Side'!B38,
                    'Order Side'!B38,
                    C37 + D37
                ),
                IF(D37 &gt;= 'Order Side'!B38 -C37,
                    'Order Side'!B38 -C37,
                    D37
                )
            ),
            IF(C37&lt;0,
                IF( D37 &gt;= 'Order Side'!B38 -C37,
                    'Order Side'!B38 -C37,
                    D37
                ),
                IF(C37+D37 &gt; 'Order Side'!B38,
                    'Order Side'!B38,
                    C37+D37
                )
            )
        )
    ),
)</f>
        <v>0</v>
      </c>
      <c r="C38" s="4">
        <f ca="1">D37+C37-'Order Side'!B38</f>
        <v>-345</v>
      </c>
      <c r="D38" s="1">
        <f t="shared" si="1"/>
        <v>0</v>
      </c>
      <c r="E38" s="1">
        <f>IF('Order Side'!G38,
    IF('Order Side'!C38 &lt;= F37,
        'Order Side'!C38,
        IF(I38&lt;0,
            IF(F37&gt;0,
                IF(F37+G37 &gt; 'Order Side'!C38,
                    'Order Side'!C38,
                    F37 + G37
                ),
                IF(G37 &gt;= 'Order Side'!C38 -F37,
                    'Order Side'!C38 -F37,
                    G37
                )
            ),
            IF(F37&lt;0,
                IF( G37 &gt;= 'Order Side'!C38 -F37,
                    'Order Side'!C38 -F37,
                    G37
                ),
                IF(F37+G37 &gt; 'Order Side'!C38,
                    'Order Side'!C38,
                    F37+G37
                )
            )
        )
    ),
)</f>
        <v>0</v>
      </c>
      <c r="F38" s="1">
        <f>G37+F37-'Order Side'!C38</f>
        <v>20</v>
      </c>
      <c r="G38" s="1">
        <f t="shared" si="2"/>
        <v>0</v>
      </c>
      <c r="H38" s="1">
        <f>IF('Order Side'!G38,
    IF('Order Side'!D38 &lt;= I37,
        'Order Side'!D38,
        IF(I38&lt;0,
            IF(I37&gt;0,
                IF(I37+J37 &gt; 'Order Side'!D38,
                    'Order Side'!D38,
                    I37 + J37
                ),
                IF(J37 &gt;= 'Order Side'!D38 -I37,
                    'Order Side'!D38 -I37,
                    J37
                )
            ),
            IF(I37&lt;0,
                IF( J37 &gt;= 'Order Side'!D38 -I37,
                    'Order Side'!D38 -I37,
                    J37
                ),
                IF(I37+J37 &gt; 'Order Side'!D38,
                    'Order Side'!D38,
                    I37+J37
                )
            )
        )
    ),
)</f>
        <v>0</v>
      </c>
      <c r="I38" s="1">
        <f>J37+I37-'Order Side'!D38</f>
        <v>20</v>
      </c>
      <c r="J38" s="1">
        <f t="shared" si="3"/>
        <v>0</v>
      </c>
      <c r="K38" s="1">
        <f>IF('Order Side'!G38,
    IF('Order Side'!E38 &lt;= L37,
        'Order Side'!E38,
        IF(L38&lt;0,
            IF(L37&gt;0,
                IF(L37+M37 &gt; 'Order Side'!E38,
                    'Order Side'!E38,
                    L37 + M37
                ),
                IF(M37 &gt;= 'Order Side'!E38 -L37,
                    'Order Side'!E38 -L37,
                    M37
                )
            ),
            IF(L37&lt;0,
                IF( M37 &gt;= 'Order Side'!E38 -L37,
                    'Order Side'!E38 -L37,
                    M37
                ),
                IF(L37+M37 &gt; 'Order Side'!E38,
                    'Order Side'!E38,
                    L37+M37
                )
            )
        )
    ),
)</f>
        <v>0</v>
      </c>
      <c r="L38" s="1">
        <f>M37+L37-'Order Side'!E38</f>
        <v>20</v>
      </c>
      <c r="M38" s="1">
        <f t="shared" si="4"/>
        <v>0</v>
      </c>
      <c r="N38" s="1">
        <f>'Order Side'!F38</f>
        <v>0</v>
      </c>
    </row>
    <row r="39" spans="1:14" x14ac:dyDescent="0.25">
      <c r="A39" s="2">
        <f t="shared" si="0"/>
        <v>38</v>
      </c>
      <c r="B39" s="1">
        <f ca="1">IF('Order Side'!G39,
    IF('Order Side'!B39 &lt;= C38,
        'Order Side'!B39,
        IF(I39&lt;0,
            IF(C38&gt;0,
                IF(C38+D38 &gt; 'Order Side'!B39,
                    'Order Side'!B39,
                    C38 + D38
                ),
                IF(D38 &gt;= 'Order Side'!B39 -C38,
                    'Order Side'!B39 -C38,
                    D38
                )
            ),
            IF(C38&lt;0,
                IF( D38 &gt;= 'Order Side'!B39 -C38,
                    'Order Side'!B39 -C38,
                    D38
                ),
                IF(C38+D38 &gt; 'Order Side'!B39,
                    'Order Side'!B39,
                    C38+D38
                )
            )
        )
    ),
)</f>
        <v>0</v>
      </c>
      <c r="C39" s="4">
        <f ca="1">D38+C38-'Order Side'!B39</f>
        <v>-357</v>
      </c>
      <c r="D39" s="1">
        <f t="shared" si="1"/>
        <v>0</v>
      </c>
      <c r="E39" s="1">
        <f>IF('Order Side'!G39,
    IF('Order Side'!C39 &lt;= F38,
        'Order Side'!C39,
        IF(I39&lt;0,
            IF(F38&gt;0,
                IF(F38+G38 &gt; 'Order Side'!C39,
                    'Order Side'!C39,
                    F38 + G38
                ),
                IF(G38 &gt;= 'Order Side'!C39 -F38,
                    'Order Side'!C39 -F38,
                    G38
                )
            ),
            IF(F38&lt;0,
                IF( G38 &gt;= 'Order Side'!C39 -F38,
                    'Order Side'!C39 -F38,
                    G38
                ),
                IF(F38+G38 &gt; 'Order Side'!C39,
                    'Order Side'!C39,
                    F38+G38
                )
            )
        )
    ),
)</f>
        <v>0</v>
      </c>
      <c r="F39" s="1">
        <f>G38+F38-'Order Side'!C39</f>
        <v>20</v>
      </c>
      <c r="G39" s="1">
        <f t="shared" si="2"/>
        <v>0</v>
      </c>
      <c r="H39" s="1">
        <f>IF('Order Side'!G39,
    IF('Order Side'!D39 &lt;= I38,
        'Order Side'!D39,
        IF(I39&lt;0,
            IF(I38&gt;0,
                IF(I38+J38 &gt; 'Order Side'!D39,
                    'Order Side'!D39,
                    I38 + J38
                ),
                IF(J38 &gt;= 'Order Side'!D39 -I38,
                    'Order Side'!D39 -I38,
                    J38
                )
            ),
            IF(I38&lt;0,
                IF( J38 &gt;= 'Order Side'!D39 -I38,
                    'Order Side'!D39 -I38,
                    J38
                ),
                IF(I38+J38 &gt; 'Order Side'!D39,
                    'Order Side'!D39,
                    I38+J38
                )
            )
        )
    ),
)</f>
        <v>0</v>
      </c>
      <c r="I39" s="1">
        <f>J38+I38-'Order Side'!D39</f>
        <v>20</v>
      </c>
      <c r="J39" s="1">
        <f t="shared" si="3"/>
        <v>0</v>
      </c>
      <c r="K39" s="1">
        <f>IF('Order Side'!G39,
    IF('Order Side'!E39 &lt;= L38,
        'Order Side'!E39,
        IF(L39&lt;0,
            IF(L38&gt;0,
                IF(L38+M38 &gt; 'Order Side'!E39,
                    'Order Side'!E39,
                    L38 + M38
                ),
                IF(M38 &gt;= 'Order Side'!E39 -L38,
                    'Order Side'!E39 -L38,
                    M38
                )
            ),
            IF(L38&lt;0,
                IF( M38 &gt;= 'Order Side'!E39 -L38,
                    'Order Side'!E39 -L38,
                    M38
                ),
                IF(L38+M38 &gt; 'Order Side'!E39,
                    'Order Side'!E39,
                    L38+M38
                )
            )
        )
    ),
)</f>
        <v>0</v>
      </c>
      <c r="L39" s="1">
        <f>M38+L38-'Order Side'!E39</f>
        <v>20</v>
      </c>
      <c r="M39" s="1">
        <f t="shared" si="4"/>
        <v>0</v>
      </c>
      <c r="N39" s="1">
        <f>'Order Side'!F39</f>
        <v>0</v>
      </c>
    </row>
    <row r="40" spans="1:14" x14ac:dyDescent="0.25">
      <c r="A40" s="2">
        <f t="shared" si="0"/>
        <v>39</v>
      </c>
      <c r="B40" s="1">
        <f ca="1">IF('Order Side'!G40,
    IF('Order Side'!B40 &lt;= C39,
        'Order Side'!B40,
        IF(I40&lt;0,
            IF(C39&gt;0,
                IF(C39+D39 &gt; 'Order Side'!B40,
                    'Order Side'!B40,
                    C39 + D39
                ),
                IF(D39 &gt;= 'Order Side'!B40 -C39,
                    'Order Side'!B40 -C39,
                    D39
                )
            ),
            IF(C39&lt;0,
                IF( D39 &gt;= 'Order Side'!B40 -C39,
                    'Order Side'!B40 -C39,
                    D39
                ),
                IF(C39+D39 &gt; 'Order Side'!B40,
                    'Order Side'!B40,
                    C39+D39
                )
            )
        )
    ),
)</f>
        <v>0</v>
      </c>
      <c r="C40" s="4">
        <f ca="1">D39+C39-'Order Side'!B40</f>
        <v>-369</v>
      </c>
      <c r="D40" s="1">
        <f t="shared" si="1"/>
        <v>0</v>
      </c>
      <c r="E40" s="1">
        <f>IF('Order Side'!G40,
    IF('Order Side'!C40 &lt;= F39,
        'Order Side'!C40,
        IF(I40&lt;0,
            IF(F39&gt;0,
                IF(F39+G39 &gt; 'Order Side'!C40,
                    'Order Side'!C40,
                    F39 + G39
                ),
                IF(G39 &gt;= 'Order Side'!C40 -F39,
                    'Order Side'!C40 -F39,
                    G39
                )
            ),
            IF(F39&lt;0,
                IF( G39 &gt;= 'Order Side'!C40 -F39,
                    'Order Side'!C40 -F39,
                    G39
                ),
                IF(F39+G39 &gt; 'Order Side'!C40,
                    'Order Side'!C40,
                    F39+G39
                )
            )
        )
    ),
)</f>
        <v>0</v>
      </c>
      <c r="F40" s="1">
        <f>G39+F39-'Order Side'!C40</f>
        <v>20</v>
      </c>
      <c r="G40" s="1">
        <f t="shared" si="2"/>
        <v>0</v>
      </c>
      <c r="H40" s="1">
        <f>IF('Order Side'!G40,
    IF('Order Side'!D40 &lt;= I39,
        'Order Side'!D40,
        IF(I40&lt;0,
            IF(I39&gt;0,
                IF(I39+J39 &gt; 'Order Side'!D40,
                    'Order Side'!D40,
                    I39 + J39
                ),
                IF(J39 &gt;= 'Order Side'!D40 -I39,
                    'Order Side'!D40 -I39,
                    J39
                )
            ),
            IF(I39&lt;0,
                IF( J39 &gt;= 'Order Side'!D40 -I39,
                    'Order Side'!D40 -I39,
                    J39
                ),
                IF(I39+J39 &gt; 'Order Side'!D40,
                    'Order Side'!D40,
                    I39+J39
                )
            )
        )
    ),
)</f>
        <v>0</v>
      </c>
      <c r="I40" s="1">
        <f>J39+I39-'Order Side'!D40</f>
        <v>20</v>
      </c>
      <c r="J40" s="1">
        <f t="shared" si="3"/>
        <v>0</v>
      </c>
      <c r="K40" s="1">
        <f>IF('Order Side'!G40,
    IF('Order Side'!E40 &lt;= L39,
        'Order Side'!E40,
        IF(L40&lt;0,
            IF(L39&gt;0,
                IF(L39+M39 &gt; 'Order Side'!E40,
                    'Order Side'!E40,
                    L39 + M39
                ),
                IF(M39 &gt;= 'Order Side'!E40 -L39,
                    'Order Side'!E40 -L39,
                    M39
                )
            ),
            IF(L39&lt;0,
                IF( M39 &gt;= 'Order Side'!E40 -L39,
                    'Order Side'!E40 -L39,
                    M39
                ),
                IF(L39+M39 &gt; 'Order Side'!E40,
                    'Order Side'!E40,
                    L39+M39
                )
            )
        )
    ),
)</f>
        <v>0</v>
      </c>
      <c r="L40" s="1">
        <f>M39+L39-'Order Side'!E40</f>
        <v>20</v>
      </c>
      <c r="M40" s="1">
        <f t="shared" si="4"/>
        <v>0</v>
      </c>
      <c r="N40" s="1">
        <f>'Order Side'!F40</f>
        <v>0</v>
      </c>
    </row>
    <row r="41" spans="1:14" x14ac:dyDescent="0.25">
      <c r="A41" s="2">
        <f t="shared" si="0"/>
        <v>40</v>
      </c>
      <c r="B41" s="1">
        <f ca="1">IF('Order Side'!G41,
    IF('Order Side'!B41 &lt;= C40,
        'Order Side'!B41,
        IF(I41&lt;0,
            IF(C40&gt;0,
                IF(C40+D40 &gt; 'Order Side'!B41,
                    'Order Side'!B41,
                    C40 + D40
                ),
                IF(D40 &gt;= 'Order Side'!B41 -C40,
                    'Order Side'!B41 -C40,
                    D40
                )
            ),
            IF(C40&lt;0,
                IF( D40 &gt;= 'Order Side'!B41 -C40,
                    'Order Side'!B41 -C40,
                    D40
                ),
                IF(C40+D40 &gt; 'Order Side'!B41,
                    'Order Side'!B41,
                    C40+D40
                )
            )
        )
    ),
)</f>
        <v>0</v>
      </c>
      <c r="C41" s="4">
        <f ca="1">D40+C40-'Order Side'!B41</f>
        <v>-381</v>
      </c>
      <c r="D41" s="1">
        <f t="shared" si="1"/>
        <v>0</v>
      </c>
      <c r="E41" s="1">
        <f>IF('Order Side'!G41,
    IF('Order Side'!C41 &lt;= F40,
        'Order Side'!C41,
        IF(I41&lt;0,
            IF(F40&gt;0,
                IF(F40+G40 &gt; 'Order Side'!C41,
                    'Order Side'!C41,
                    F40 + G40
                ),
                IF(G40 &gt;= 'Order Side'!C41 -F40,
                    'Order Side'!C41 -F40,
                    G40
                )
            ),
            IF(F40&lt;0,
                IF( G40 &gt;= 'Order Side'!C41 -F40,
                    'Order Side'!C41 -F40,
                    G40
                ),
                IF(F40+G40 &gt; 'Order Side'!C41,
                    'Order Side'!C41,
                    F40+G40
                )
            )
        )
    ),
)</f>
        <v>0</v>
      </c>
      <c r="F41" s="1">
        <f>G40+F40-'Order Side'!C41</f>
        <v>20</v>
      </c>
      <c r="G41" s="1">
        <f t="shared" si="2"/>
        <v>0</v>
      </c>
      <c r="H41" s="1">
        <f>IF('Order Side'!G41,
    IF('Order Side'!D41 &lt;= I40,
        'Order Side'!D41,
        IF(I41&lt;0,
            IF(I40&gt;0,
                IF(I40+J40 &gt; 'Order Side'!D41,
                    'Order Side'!D41,
                    I40 + J40
                ),
                IF(J40 &gt;= 'Order Side'!D41 -I40,
                    'Order Side'!D41 -I40,
                    J40
                )
            ),
            IF(I40&lt;0,
                IF( J40 &gt;= 'Order Side'!D41 -I40,
                    'Order Side'!D41 -I40,
                    J40
                ),
                IF(I40+J40 &gt; 'Order Side'!D41,
                    'Order Side'!D41,
                    I40+J40
                )
            )
        )
    ),
)</f>
        <v>0</v>
      </c>
      <c r="I41" s="1">
        <f>J40+I40-'Order Side'!D41</f>
        <v>20</v>
      </c>
      <c r="J41" s="1">
        <f t="shared" si="3"/>
        <v>0</v>
      </c>
      <c r="K41" s="1">
        <f>IF('Order Side'!G41,
    IF('Order Side'!E41 &lt;= L40,
        'Order Side'!E41,
        IF(L41&lt;0,
            IF(L40&gt;0,
                IF(L40+M40 &gt; 'Order Side'!E41,
                    'Order Side'!E41,
                    L40 + M40
                ),
                IF(M40 &gt;= 'Order Side'!E41 -L40,
                    'Order Side'!E41 -L40,
                    M40
                )
            ),
            IF(L40&lt;0,
                IF( M40 &gt;= 'Order Side'!E41 -L40,
                    'Order Side'!E41 -L40,
                    M40
                ),
                IF(L40+M40 &gt; 'Order Side'!E41,
                    'Order Side'!E41,
                    L40+M40
                )
            )
        )
    ),
)</f>
        <v>0</v>
      </c>
      <c r="L41" s="1">
        <f>M40+L40-'Order Side'!E41</f>
        <v>20</v>
      </c>
      <c r="M41" s="1">
        <f t="shared" si="4"/>
        <v>0</v>
      </c>
      <c r="N41" s="1">
        <f>'Order Side'!F41</f>
        <v>0</v>
      </c>
    </row>
    <row r="42" spans="1:14" x14ac:dyDescent="0.25">
      <c r="A42" s="2">
        <f t="shared" si="0"/>
        <v>41</v>
      </c>
      <c r="B42" s="1">
        <f ca="1">IF('Order Side'!G42,
    IF('Order Side'!B42 &lt;= C41,
        'Order Side'!B42,
        IF(I42&lt;0,
            IF(C41&gt;0,
                IF(C41+D41 &gt; 'Order Side'!B42,
                    'Order Side'!B42,
                    C41 + D41
                ),
                IF(D41 &gt;= 'Order Side'!B42 -C41,
                    'Order Side'!B42 -C41,
                    D41
                )
            ),
            IF(C41&lt;0,
                IF( D41 &gt;= 'Order Side'!B42 -C41,
                    'Order Side'!B42 -C41,
                    D41
                ),
                IF(C41+D41 &gt; 'Order Side'!B42,
                    'Order Side'!B42,
                    C41+D41
                )
            )
        )
    ),
)</f>
        <v>0</v>
      </c>
      <c r="C42" s="4">
        <f ca="1">D41+C41-'Order Side'!B42</f>
        <v>-393</v>
      </c>
      <c r="D42" s="1">
        <f t="shared" si="1"/>
        <v>0</v>
      </c>
      <c r="E42" s="1">
        <f>IF('Order Side'!G42,
    IF('Order Side'!C42 &lt;= F41,
        'Order Side'!C42,
        IF(I42&lt;0,
            IF(F41&gt;0,
                IF(F41+G41 &gt; 'Order Side'!C42,
                    'Order Side'!C42,
                    F41 + G41
                ),
                IF(G41 &gt;= 'Order Side'!C42 -F41,
                    'Order Side'!C42 -F41,
                    G41
                )
            ),
            IF(F41&lt;0,
                IF( G41 &gt;= 'Order Side'!C42 -F41,
                    'Order Side'!C42 -F41,
                    G41
                ),
                IF(F41+G41 &gt; 'Order Side'!C42,
                    'Order Side'!C42,
                    F41+G41
                )
            )
        )
    ),
)</f>
        <v>0</v>
      </c>
      <c r="F42" s="1">
        <f>G41+F41-'Order Side'!C42</f>
        <v>20</v>
      </c>
      <c r="G42" s="1">
        <f t="shared" si="2"/>
        <v>0</v>
      </c>
      <c r="H42" s="1">
        <f>IF('Order Side'!G42,
    IF('Order Side'!D42 &lt;= I41,
        'Order Side'!D42,
        IF(I42&lt;0,
            IF(I41&gt;0,
                IF(I41+J41 &gt; 'Order Side'!D42,
                    'Order Side'!D42,
                    I41 + J41
                ),
                IF(J41 &gt;= 'Order Side'!D42 -I41,
                    'Order Side'!D42 -I41,
                    J41
                )
            ),
            IF(I41&lt;0,
                IF( J41 &gt;= 'Order Side'!D42 -I41,
                    'Order Side'!D42 -I41,
                    J41
                ),
                IF(I41+J41 &gt; 'Order Side'!D42,
                    'Order Side'!D42,
                    I41+J41
                )
            )
        )
    ),
)</f>
        <v>0</v>
      </c>
      <c r="I42" s="1">
        <f>J41+I41-'Order Side'!D42</f>
        <v>20</v>
      </c>
      <c r="J42" s="1">
        <f t="shared" si="3"/>
        <v>0</v>
      </c>
      <c r="K42" s="1">
        <f>IF('Order Side'!G42,
    IF('Order Side'!E42 &lt;= L41,
        'Order Side'!E42,
        IF(L42&lt;0,
            IF(L41&gt;0,
                IF(L41+M41 &gt; 'Order Side'!E42,
                    'Order Side'!E42,
                    L41 + M41
                ),
                IF(M41 &gt;= 'Order Side'!E42 -L41,
                    'Order Side'!E42 -L41,
                    M41
                )
            ),
            IF(L41&lt;0,
                IF( M41 &gt;= 'Order Side'!E42 -L41,
                    'Order Side'!E42 -L41,
                    M41
                ),
                IF(L41+M41 &gt; 'Order Side'!E42,
                    'Order Side'!E42,
                    L41+M41
                )
            )
        )
    ),
)</f>
        <v>0</v>
      </c>
      <c r="L42" s="1">
        <f>M41+L41-'Order Side'!E42</f>
        <v>20</v>
      </c>
      <c r="M42" s="1">
        <f t="shared" si="4"/>
        <v>0</v>
      </c>
      <c r="N42" s="1">
        <f>'Order Side'!F42</f>
        <v>0</v>
      </c>
    </row>
    <row r="43" spans="1:14" x14ac:dyDescent="0.25">
      <c r="A43" s="2">
        <f t="shared" si="0"/>
        <v>42</v>
      </c>
      <c r="B43" s="1">
        <f ca="1">IF('Order Side'!G43,
    IF('Order Side'!B43 &lt;= C42,
        'Order Side'!B43,
        IF(I43&lt;0,
            IF(C42&gt;0,
                IF(C42+D42 &gt; 'Order Side'!B43,
                    'Order Side'!B43,
                    C42 + D42
                ),
                IF(D42 &gt;= 'Order Side'!B43 -C42,
                    'Order Side'!B43 -C42,
                    D42
                )
            ),
            IF(C42&lt;0,
                IF( D42 &gt;= 'Order Side'!B43 -C42,
                    'Order Side'!B43 -C42,
                    D42
                ),
                IF(C42+D42 &gt; 'Order Side'!B43,
                    'Order Side'!B43,
                    C42+D42
                )
            )
        )
    ),
)</f>
        <v>0</v>
      </c>
      <c r="C43" s="4">
        <f ca="1">D42+C42-'Order Side'!B43</f>
        <v>-405</v>
      </c>
      <c r="D43" s="1">
        <f t="shared" si="1"/>
        <v>0</v>
      </c>
      <c r="E43" s="1">
        <f>IF('Order Side'!G43,
    IF('Order Side'!C43 &lt;= F42,
        'Order Side'!C43,
        IF(I43&lt;0,
            IF(F42&gt;0,
                IF(F42+G42 &gt; 'Order Side'!C43,
                    'Order Side'!C43,
                    F42 + G42
                ),
                IF(G42 &gt;= 'Order Side'!C43 -F42,
                    'Order Side'!C43 -F42,
                    G42
                )
            ),
            IF(F42&lt;0,
                IF( G42 &gt;= 'Order Side'!C43 -F42,
                    'Order Side'!C43 -F42,
                    G42
                ),
                IF(F42+G42 &gt; 'Order Side'!C43,
                    'Order Side'!C43,
                    F42+G42
                )
            )
        )
    ),
)</f>
        <v>0</v>
      </c>
      <c r="F43" s="1">
        <f>G42+F42-'Order Side'!C43</f>
        <v>20</v>
      </c>
      <c r="G43" s="1">
        <f t="shared" si="2"/>
        <v>0</v>
      </c>
      <c r="H43" s="1">
        <f>IF('Order Side'!G43,
    IF('Order Side'!D43 &lt;= I42,
        'Order Side'!D43,
        IF(I43&lt;0,
            IF(I42&gt;0,
                IF(I42+J42 &gt; 'Order Side'!D43,
                    'Order Side'!D43,
                    I42 + J42
                ),
                IF(J42 &gt;= 'Order Side'!D43 -I42,
                    'Order Side'!D43 -I42,
                    J42
                )
            ),
            IF(I42&lt;0,
                IF( J42 &gt;= 'Order Side'!D43 -I42,
                    'Order Side'!D43 -I42,
                    J42
                ),
                IF(I42+J42 &gt; 'Order Side'!D43,
                    'Order Side'!D43,
                    I42+J42
                )
            )
        )
    ),
)</f>
        <v>0</v>
      </c>
      <c r="I43" s="1">
        <f>J42+I42-'Order Side'!D43</f>
        <v>20</v>
      </c>
      <c r="J43" s="1">
        <f t="shared" si="3"/>
        <v>0</v>
      </c>
      <c r="K43" s="1">
        <f>IF('Order Side'!G43,
    IF('Order Side'!E43 &lt;= L42,
        'Order Side'!E43,
        IF(L43&lt;0,
            IF(L42&gt;0,
                IF(L42+M42 &gt; 'Order Side'!E43,
                    'Order Side'!E43,
                    L42 + M42
                ),
                IF(M42 &gt;= 'Order Side'!E43 -L42,
                    'Order Side'!E43 -L42,
                    M42
                )
            ),
            IF(L42&lt;0,
                IF( M42 &gt;= 'Order Side'!E43 -L42,
                    'Order Side'!E43 -L42,
                    M42
                ),
                IF(L42+M42 &gt; 'Order Side'!E43,
                    'Order Side'!E43,
                    L42+M42
                )
            )
        )
    ),
)</f>
        <v>0</v>
      </c>
      <c r="L43" s="1">
        <f>M42+L42-'Order Side'!E43</f>
        <v>20</v>
      </c>
      <c r="M43" s="1">
        <f t="shared" si="4"/>
        <v>0</v>
      </c>
      <c r="N43" s="1">
        <f>'Order Side'!F43</f>
        <v>0</v>
      </c>
    </row>
    <row r="44" spans="1:14" x14ac:dyDescent="0.25">
      <c r="A44" s="2">
        <f t="shared" si="0"/>
        <v>43</v>
      </c>
      <c r="B44" s="1">
        <f ca="1">IF('Order Side'!G44,
    IF('Order Side'!B44 &lt;= C43,
        'Order Side'!B44,
        IF(I44&lt;0,
            IF(C43&gt;0,
                IF(C43+D43 &gt; 'Order Side'!B44,
                    'Order Side'!B44,
                    C43 + D43
                ),
                IF(D43 &gt;= 'Order Side'!B44 -C43,
                    'Order Side'!B44 -C43,
                    D43
                )
            ),
            IF(C43&lt;0,
                IF( D43 &gt;= 'Order Side'!B44 -C43,
                    'Order Side'!B44 -C43,
                    D43
                ),
                IF(C43+D43 &gt; 'Order Side'!B44,
                    'Order Side'!B44,
                    C43+D43
                )
            )
        )
    ),
)</f>
        <v>0</v>
      </c>
      <c r="C44" s="4">
        <f ca="1">D43+C43-'Order Side'!B44</f>
        <v>-417</v>
      </c>
      <c r="D44" s="1">
        <f t="shared" si="1"/>
        <v>0</v>
      </c>
      <c r="E44" s="1">
        <f>IF('Order Side'!G44,
    IF('Order Side'!C44 &lt;= F43,
        'Order Side'!C44,
        IF(I44&lt;0,
            IF(F43&gt;0,
                IF(F43+G43 &gt; 'Order Side'!C44,
                    'Order Side'!C44,
                    F43 + G43
                ),
                IF(G43 &gt;= 'Order Side'!C44 -F43,
                    'Order Side'!C44 -F43,
                    G43
                )
            ),
            IF(F43&lt;0,
                IF( G43 &gt;= 'Order Side'!C44 -F43,
                    'Order Side'!C44 -F43,
                    G43
                ),
                IF(F43+G43 &gt; 'Order Side'!C44,
                    'Order Side'!C44,
                    F43+G43
                )
            )
        )
    ),
)</f>
        <v>0</v>
      </c>
      <c r="F44" s="1">
        <f>G43+F43-'Order Side'!C44</f>
        <v>20</v>
      </c>
      <c r="G44" s="1">
        <f t="shared" si="2"/>
        <v>0</v>
      </c>
      <c r="H44" s="1">
        <f>IF('Order Side'!G44,
    IF('Order Side'!D44 &lt;= I43,
        'Order Side'!D44,
        IF(I44&lt;0,
            IF(I43&gt;0,
                IF(I43+J43 &gt; 'Order Side'!D44,
                    'Order Side'!D44,
                    I43 + J43
                ),
                IF(J43 &gt;= 'Order Side'!D44 -I43,
                    'Order Side'!D44 -I43,
                    J43
                )
            ),
            IF(I43&lt;0,
                IF( J43 &gt;= 'Order Side'!D44 -I43,
                    'Order Side'!D44 -I43,
                    J43
                ),
                IF(I43+J43 &gt; 'Order Side'!D44,
                    'Order Side'!D44,
                    I43+J43
                )
            )
        )
    ),
)</f>
        <v>0</v>
      </c>
      <c r="I44" s="1">
        <f>J43+I43-'Order Side'!D44</f>
        <v>20</v>
      </c>
      <c r="J44" s="1">
        <f t="shared" si="3"/>
        <v>0</v>
      </c>
      <c r="K44" s="1">
        <f>IF('Order Side'!G44,
    IF('Order Side'!E44 &lt;= L43,
        'Order Side'!E44,
        IF(L44&lt;0,
            IF(L43&gt;0,
                IF(L43+M43 &gt; 'Order Side'!E44,
                    'Order Side'!E44,
                    L43 + M43
                ),
                IF(M43 &gt;= 'Order Side'!E44 -L43,
                    'Order Side'!E44 -L43,
                    M43
                )
            ),
            IF(L43&lt;0,
                IF( M43 &gt;= 'Order Side'!E44 -L43,
                    'Order Side'!E44 -L43,
                    M43
                ),
                IF(L43+M43 &gt; 'Order Side'!E44,
                    'Order Side'!E44,
                    L43+M43
                )
            )
        )
    ),
)</f>
        <v>0</v>
      </c>
      <c r="L44" s="1">
        <f>M43+L43-'Order Side'!E44</f>
        <v>20</v>
      </c>
      <c r="M44" s="1">
        <f t="shared" si="4"/>
        <v>0</v>
      </c>
      <c r="N44" s="1">
        <f>'Order Side'!F44</f>
        <v>0</v>
      </c>
    </row>
    <row r="45" spans="1:14" x14ac:dyDescent="0.25">
      <c r="A45" s="2">
        <f t="shared" si="0"/>
        <v>44</v>
      </c>
      <c r="B45" s="1">
        <f ca="1">IF('Order Side'!G45,
    IF('Order Side'!B45 &lt;= C44,
        'Order Side'!B45,
        IF(I45&lt;0,
            IF(C44&gt;0,
                IF(C44+D44 &gt; 'Order Side'!B45,
                    'Order Side'!B45,
                    C44 + D44
                ),
                IF(D44 &gt;= 'Order Side'!B45 -C44,
                    'Order Side'!B45 -C44,
                    D44
                )
            ),
            IF(C44&lt;0,
                IF( D44 &gt;= 'Order Side'!B45 -C44,
                    'Order Side'!B45 -C44,
                    D44
                ),
                IF(C44+D44 &gt; 'Order Side'!B45,
                    'Order Side'!B45,
                    C44+D44
                )
            )
        )
    ),
)</f>
        <v>0</v>
      </c>
      <c r="C45" s="4">
        <f ca="1">D44+C44-'Order Side'!B45</f>
        <v>-429</v>
      </c>
      <c r="D45" s="1">
        <f t="shared" si="1"/>
        <v>0</v>
      </c>
      <c r="E45" s="1">
        <f>IF('Order Side'!G45,
    IF('Order Side'!C45 &lt;= F44,
        'Order Side'!C45,
        IF(I45&lt;0,
            IF(F44&gt;0,
                IF(F44+G44 &gt; 'Order Side'!C45,
                    'Order Side'!C45,
                    F44 + G44
                ),
                IF(G44 &gt;= 'Order Side'!C45 -F44,
                    'Order Side'!C45 -F44,
                    G44
                )
            ),
            IF(F44&lt;0,
                IF( G44 &gt;= 'Order Side'!C45 -F44,
                    'Order Side'!C45 -F44,
                    G44
                ),
                IF(F44+G44 &gt; 'Order Side'!C45,
                    'Order Side'!C45,
                    F44+G44
                )
            )
        )
    ),
)</f>
        <v>0</v>
      </c>
      <c r="F45" s="1">
        <f>G44+F44-'Order Side'!C45</f>
        <v>20</v>
      </c>
      <c r="G45" s="1">
        <f t="shared" si="2"/>
        <v>0</v>
      </c>
      <c r="H45" s="1">
        <f>IF('Order Side'!G45,
    IF('Order Side'!D45 &lt;= I44,
        'Order Side'!D45,
        IF(I45&lt;0,
            IF(I44&gt;0,
                IF(I44+J44 &gt; 'Order Side'!D45,
                    'Order Side'!D45,
                    I44 + J44
                ),
                IF(J44 &gt;= 'Order Side'!D45 -I44,
                    'Order Side'!D45 -I44,
                    J44
                )
            ),
            IF(I44&lt;0,
                IF( J44 &gt;= 'Order Side'!D45 -I44,
                    'Order Side'!D45 -I44,
                    J44
                ),
                IF(I44+J44 &gt; 'Order Side'!D45,
                    'Order Side'!D45,
                    I44+J44
                )
            )
        )
    ),
)</f>
        <v>0</v>
      </c>
      <c r="I45" s="1">
        <f>J44+I44-'Order Side'!D45</f>
        <v>20</v>
      </c>
      <c r="J45" s="1">
        <f t="shared" si="3"/>
        <v>0</v>
      </c>
      <c r="K45" s="1">
        <f>IF('Order Side'!G45,
    IF('Order Side'!E45 &lt;= L44,
        'Order Side'!E45,
        IF(L45&lt;0,
            IF(L44&gt;0,
                IF(L44+M44 &gt; 'Order Side'!E45,
                    'Order Side'!E45,
                    L44 + M44
                ),
                IF(M44 &gt;= 'Order Side'!E45 -L44,
                    'Order Side'!E45 -L44,
                    M44
                )
            ),
            IF(L44&lt;0,
                IF( M44 &gt;= 'Order Side'!E45 -L44,
                    'Order Side'!E45 -L44,
                    M44
                ),
                IF(L44+M44 &gt; 'Order Side'!E45,
                    'Order Side'!E45,
                    L44+M44
                )
            )
        )
    ),
)</f>
        <v>0</v>
      </c>
      <c r="L45" s="1">
        <f>M44+L44-'Order Side'!E45</f>
        <v>20</v>
      </c>
      <c r="M45" s="1">
        <f t="shared" si="4"/>
        <v>0</v>
      </c>
      <c r="N45" s="1">
        <f>'Order Side'!F45</f>
        <v>0</v>
      </c>
    </row>
    <row r="46" spans="1:14" x14ac:dyDescent="0.25">
      <c r="A46" s="2">
        <f t="shared" si="0"/>
        <v>45</v>
      </c>
      <c r="B46" s="1">
        <f ca="1">IF('Order Side'!G46,
    IF('Order Side'!B46 &lt;= C45,
        'Order Side'!B46,
        IF(I46&lt;0,
            IF(C45&gt;0,
                IF(C45+D45 &gt; 'Order Side'!B46,
                    'Order Side'!B46,
                    C45 + D45
                ),
                IF(D45 &gt;= 'Order Side'!B46 -C45,
                    'Order Side'!B46 -C45,
                    D45
                )
            ),
            IF(C45&lt;0,
                IF( D45 &gt;= 'Order Side'!B46 -C45,
                    'Order Side'!B46 -C45,
                    D45
                ),
                IF(C45+D45 &gt; 'Order Side'!B46,
                    'Order Side'!B46,
                    C45+D45
                )
            )
        )
    ),
)</f>
        <v>0</v>
      </c>
      <c r="C46" s="4">
        <f ca="1">D45+C45-'Order Side'!B46</f>
        <v>-441</v>
      </c>
      <c r="D46" s="1">
        <f t="shared" si="1"/>
        <v>0</v>
      </c>
      <c r="E46" s="1">
        <f>IF('Order Side'!G46,
    IF('Order Side'!C46 &lt;= F45,
        'Order Side'!C46,
        IF(I46&lt;0,
            IF(F45&gt;0,
                IF(F45+G45 &gt; 'Order Side'!C46,
                    'Order Side'!C46,
                    F45 + G45
                ),
                IF(G45 &gt;= 'Order Side'!C46 -F45,
                    'Order Side'!C46 -F45,
                    G45
                )
            ),
            IF(F45&lt;0,
                IF( G45 &gt;= 'Order Side'!C46 -F45,
                    'Order Side'!C46 -F45,
                    G45
                ),
                IF(F45+G45 &gt; 'Order Side'!C46,
                    'Order Side'!C46,
                    F45+G45
                )
            )
        )
    ),
)</f>
        <v>0</v>
      </c>
      <c r="F46" s="1">
        <f>G45+F45-'Order Side'!C46</f>
        <v>20</v>
      </c>
      <c r="G46" s="1">
        <f t="shared" si="2"/>
        <v>0</v>
      </c>
      <c r="H46" s="1">
        <f>IF('Order Side'!G46,
    IF('Order Side'!D46 &lt;= I45,
        'Order Side'!D46,
        IF(I46&lt;0,
            IF(I45&gt;0,
                IF(I45+J45 &gt; 'Order Side'!D46,
                    'Order Side'!D46,
                    I45 + J45
                ),
                IF(J45 &gt;= 'Order Side'!D46 -I45,
                    'Order Side'!D46 -I45,
                    J45
                )
            ),
            IF(I45&lt;0,
                IF( J45 &gt;= 'Order Side'!D46 -I45,
                    'Order Side'!D46 -I45,
                    J45
                ),
                IF(I45+J45 &gt; 'Order Side'!D46,
                    'Order Side'!D46,
                    I45+J45
                )
            )
        )
    ),
)</f>
        <v>0</v>
      </c>
      <c r="I46" s="1">
        <f>J45+I45-'Order Side'!D46</f>
        <v>20</v>
      </c>
      <c r="J46" s="1">
        <f t="shared" si="3"/>
        <v>0</v>
      </c>
      <c r="K46" s="1">
        <f>IF('Order Side'!G46,
    IF('Order Side'!E46 &lt;= L45,
        'Order Side'!E46,
        IF(L46&lt;0,
            IF(L45&gt;0,
                IF(L45+M45 &gt; 'Order Side'!E46,
                    'Order Side'!E46,
                    L45 + M45
                ),
                IF(M45 &gt;= 'Order Side'!E46 -L45,
                    'Order Side'!E46 -L45,
                    M45
                )
            ),
            IF(L45&lt;0,
                IF( M45 &gt;= 'Order Side'!E46 -L45,
                    'Order Side'!E46 -L45,
                    M45
                ),
                IF(L45+M45 &gt; 'Order Side'!E46,
                    'Order Side'!E46,
                    L45+M45
                )
            )
        )
    ),
)</f>
        <v>0</v>
      </c>
      <c r="L46" s="1">
        <f>M45+L45-'Order Side'!E46</f>
        <v>20</v>
      </c>
      <c r="M46" s="1">
        <f t="shared" si="4"/>
        <v>0</v>
      </c>
      <c r="N46" s="1">
        <f>'Order Side'!F46</f>
        <v>0</v>
      </c>
    </row>
    <row r="47" spans="1:14" x14ac:dyDescent="0.25">
      <c r="A47" s="2">
        <f t="shared" si="0"/>
        <v>46</v>
      </c>
      <c r="B47" s="1">
        <f ca="1">IF('Order Side'!G47,
    IF('Order Side'!B47 &lt;= C46,
        'Order Side'!B47,
        IF(I47&lt;0,
            IF(C46&gt;0,
                IF(C46+D46 &gt; 'Order Side'!B47,
                    'Order Side'!B47,
                    C46 + D46
                ),
                IF(D46 &gt;= 'Order Side'!B47 -C46,
                    'Order Side'!B47 -C46,
                    D46
                )
            ),
            IF(C46&lt;0,
                IF( D46 &gt;= 'Order Side'!B47 -C46,
                    'Order Side'!B47 -C46,
                    D46
                ),
                IF(C46+D46 &gt; 'Order Side'!B47,
                    'Order Side'!B47,
                    C46+D46
                )
            )
        )
    ),
)</f>
        <v>0</v>
      </c>
      <c r="C47" s="4">
        <f ca="1">D46+C46-'Order Side'!B47</f>
        <v>-453</v>
      </c>
      <c r="D47" s="1">
        <f t="shared" si="1"/>
        <v>0</v>
      </c>
      <c r="E47" s="1">
        <f>IF('Order Side'!G47,
    IF('Order Side'!C47 &lt;= F46,
        'Order Side'!C47,
        IF(I47&lt;0,
            IF(F46&gt;0,
                IF(F46+G46 &gt; 'Order Side'!C47,
                    'Order Side'!C47,
                    F46 + G46
                ),
                IF(G46 &gt;= 'Order Side'!C47 -F46,
                    'Order Side'!C47 -F46,
                    G46
                )
            ),
            IF(F46&lt;0,
                IF( G46 &gt;= 'Order Side'!C47 -F46,
                    'Order Side'!C47 -F46,
                    G46
                ),
                IF(F46+G46 &gt; 'Order Side'!C47,
                    'Order Side'!C47,
                    F46+G46
                )
            )
        )
    ),
)</f>
        <v>0</v>
      </c>
      <c r="F47" s="1">
        <f>G46+F46-'Order Side'!C47</f>
        <v>20</v>
      </c>
      <c r="G47" s="1">
        <f t="shared" si="2"/>
        <v>0</v>
      </c>
      <c r="H47" s="1">
        <f>IF('Order Side'!G47,
    IF('Order Side'!D47 &lt;= I46,
        'Order Side'!D47,
        IF(I47&lt;0,
            IF(I46&gt;0,
                IF(I46+J46 &gt; 'Order Side'!D47,
                    'Order Side'!D47,
                    I46 + J46
                ),
                IF(J46 &gt;= 'Order Side'!D47 -I46,
                    'Order Side'!D47 -I46,
                    J46
                )
            ),
            IF(I46&lt;0,
                IF( J46 &gt;= 'Order Side'!D47 -I46,
                    'Order Side'!D47 -I46,
                    J46
                ),
                IF(I46+J46 &gt; 'Order Side'!D47,
                    'Order Side'!D47,
                    I46+J46
                )
            )
        )
    ),
)</f>
        <v>0</v>
      </c>
      <c r="I47" s="1">
        <f>J46+I46-'Order Side'!D47</f>
        <v>20</v>
      </c>
      <c r="J47" s="1">
        <f t="shared" si="3"/>
        <v>0</v>
      </c>
      <c r="K47" s="1">
        <f>IF('Order Side'!G47,
    IF('Order Side'!E47 &lt;= L46,
        'Order Side'!E47,
        IF(L47&lt;0,
            IF(L46&gt;0,
                IF(L46+M46 &gt; 'Order Side'!E47,
                    'Order Side'!E47,
                    L46 + M46
                ),
                IF(M46 &gt;= 'Order Side'!E47 -L46,
                    'Order Side'!E47 -L46,
                    M46
                )
            ),
            IF(L46&lt;0,
                IF( M46 &gt;= 'Order Side'!E47 -L46,
                    'Order Side'!E47 -L46,
                    M46
                ),
                IF(L46+M46 &gt; 'Order Side'!E47,
                    'Order Side'!E47,
                    L46+M46
                )
            )
        )
    ),
)</f>
        <v>0</v>
      </c>
      <c r="L47" s="1">
        <f>M46+L46-'Order Side'!E47</f>
        <v>20</v>
      </c>
      <c r="M47" s="1">
        <f t="shared" si="4"/>
        <v>0</v>
      </c>
      <c r="N47" s="1">
        <f>'Order Side'!F47</f>
        <v>0</v>
      </c>
    </row>
    <row r="48" spans="1:14" x14ac:dyDescent="0.25">
      <c r="A48" s="2">
        <f t="shared" si="0"/>
        <v>47</v>
      </c>
      <c r="B48" s="1">
        <f ca="1">IF('Order Side'!G48,
    IF('Order Side'!B48 &lt;= C47,
        'Order Side'!B48,
        IF(I48&lt;0,
            IF(C47&gt;0,
                IF(C47+D47 &gt; 'Order Side'!B48,
                    'Order Side'!B48,
                    C47 + D47
                ),
                IF(D47 &gt;= 'Order Side'!B48 -C47,
                    'Order Side'!B48 -C47,
                    D47
                )
            ),
            IF(C47&lt;0,
                IF( D47 &gt;= 'Order Side'!B48 -C47,
                    'Order Side'!B48 -C47,
                    D47
                ),
                IF(C47+D47 &gt; 'Order Side'!B48,
                    'Order Side'!B48,
                    C47+D47
                )
            )
        )
    ),
)</f>
        <v>0</v>
      </c>
      <c r="C48" s="4">
        <f ca="1">D47+C47-'Order Side'!B48</f>
        <v>-465</v>
      </c>
      <c r="D48" s="1">
        <f t="shared" si="1"/>
        <v>0</v>
      </c>
      <c r="E48" s="1">
        <f>IF('Order Side'!G48,
    IF('Order Side'!C48 &lt;= F47,
        'Order Side'!C48,
        IF(I48&lt;0,
            IF(F47&gt;0,
                IF(F47+G47 &gt; 'Order Side'!C48,
                    'Order Side'!C48,
                    F47 + G47
                ),
                IF(G47 &gt;= 'Order Side'!C48 -F47,
                    'Order Side'!C48 -F47,
                    G47
                )
            ),
            IF(F47&lt;0,
                IF( G47 &gt;= 'Order Side'!C48 -F47,
                    'Order Side'!C48 -F47,
                    G47
                ),
                IF(F47+G47 &gt; 'Order Side'!C48,
                    'Order Side'!C48,
                    F47+G47
                )
            )
        )
    ),
)</f>
        <v>0</v>
      </c>
      <c r="F48" s="1">
        <f>G47+F47-'Order Side'!C48</f>
        <v>20</v>
      </c>
      <c r="G48" s="1">
        <f t="shared" si="2"/>
        <v>0</v>
      </c>
      <c r="H48" s="1">
        <f>IF('Order Side'!G48,
    IF('Order Side'!D48 &lt;= I47,
        'Order Side'!D48,
        IF(I48&lt;0,
            IF(I47&gt;0,
                IF(I47+J47 &gt; 'Order Side'!D48,
                    'Order Side'!D48,
                    I47 + J47
                ),
                IF(J47 &gt;= 'Order Side'!D48 -I47,
                    'Order Side'!D48 -I47,
                    J47
                )
            ),
            IF(I47&lt;0,
                IF( J47 &gt;= 'Order Side'!D48 -I47,
                    'Order Side'!D48 -I47,
                    J47
                ),
                IF(I47+J47 &gt; 'Order Side'!D48,
                    'Order Side'!D48,
                    I47+J47
                )
            )
        )
    ),
)</f>
        <v>0</v>
      </c>
      <c r="I48" s="1">
        <f>J47+I47-'Order Side'!D48</f>
        <v>20</v>
      </c>
      <c r="J48" s="1">
        <f t="shared" si="3"/>
        <v>0</v>
      </c>
      <c r="K48" s="1">
        <f>IF('Order Side'!G48,
    IF('Order Side'!E48 &lt;= L47,
        'Order Side'!E48,
        IF(L48&lt;0,
            IF(L47&gt;0,
                IF(L47+M47 &gt; 'Order Side'!E48,
                    'Order Side'!E48,
                    L47 + M47
                ),
                IF(M47 &gt;= 'Order Side'!E48 -L47,
                    'Order Side'!E48 -L47,
                    M47
                )
            ),
            IF(L47&lt;0,
                IF( M47 &gt;= 'Order Side'!E48 -L47,
                    'Order Side'!E48 -L47,
                    M47
                ),
                IF(L47+M47 &gt; 'Order Side'!E48,
                    'Order Side'!E48,
                    L47+M47
                )
            )
        )
    ),
)</f>
        <v>0</v>
      </c>
      <c r="L48" s="1">
        <f>M47+L47-'Order Side'!E48</f>
        <v>20</v>
      </c>
      <c r="M48" s="1">
        <f t="shared" si="4"/>
        <v>0</v>
      </c>
      <c r="N48" s="1">
        <f>'Order Side'!F48</f>
        <v>0</v>
      </c>
    </row>
    <row r="49" spans="1:14" x14ac:dyDescent="0.25">
      <c r="A49" s="2">
        <f t="shared" si="0"/>
        <v>48</v>
      </c>
      <c r="B49" s="1">
        <f ca="1">IF('Order Side'!G49,
    IF('Order Side'!B49 &lt;= C48,
        'Order Side'!B49,
        IF(I49&lt;0,
            IF(C48&gt;0,
                IF(C48+D48 &gt; 'Order Side'!B49,
                    'Order Side'!B49,
                    C48 + D48
                ),
                IF(D48 &gt;= 'Order Side'!B49 -C48,
                    'Order Side'!B49 -C48,
                    D48
                )
            ),
            IF(C48&lt;0,
                IF( D48 &gt;= 'Order Side'!B49 -C48,
                    'Order Side'!B49 -C48,
                    D48
                ),
                IF(C48+D48 &gt; 'Order Side'!B49,
                    'Order Side'!B49,
                    C48+D48
                )
            )
        )
    ),
)</f>
        <v>0</v>
      </c>
      <c r="C49" s="4">
        <f ca="1">D48+C48-'Order Side'!B49</f>
        <v>-477</v>
      </c>
      <c r="D49" s="1">
        <f t="shared" si="1"/>
        <v>0</v>
      </c>
      <c r="E49" s="1">
        <f>IF('Order Side'!G49,
    IF('Order Side'!C49 &lt;= F48,
        'Order Side'!C49,
        IF(I49&lt;0,
            IF(F48&gt;0,
                IF(F48+G48 &gt; 'Order Side'!C49,
                    'Order Side'!C49,
                    F48 + G48
                ),
                IF(G48 &gt;= 'Order Side'!C49 -F48,
                    'Order Side'!C49 -F48,
                    G48
                )
            ),
            IF(F48&lt;0,
                IF( G48 &gt;= 'Order Side'!C49 -F48,
                    'Order Side'!C49 -F48,
                    G48
                ),
                IF(F48+G48 &gt; 'Order Side'!C49,
                    'Order Side'!C49,
                    F48+G48
                )
            )
        )
    ),
)</f>
        <v>0</v>
      </c>
      <c r="F49" s="1">
        <f>G48+F48-'Order Side'!C49</f>
        <v>20</v>
      </c>
      <c r="G49" s="1">
        <f t="shared" si="2"/>
        <v>0</v>
      </c>
      <c r="H49" s="1">
        <f>IF('Order Side'!G49,
    IF('Order Side'!D49 &lt;= I48,
        'Order Side'!D49,
        IF(I49&lt;0,
            IF(I48&gt;0,
                IF(I48+J48 &gt; 'Order Side'!D49,
                    'Order Side'!D49,
                    I48 + J48
                ),
                IF(J48 &gt;= 'Order Side'!D49 -I48,
                    'Order Side'!D49 -I48,
                    J48
                )
            ),
            IF(I48&lt;0,
                IF( J48 &gt;= 'Order Side'!D49 -I48,
                    'Order Side'!D49 -I48,
                    J48
                ),
                IF(I48+J48 &gt; 'Order Side'!D49,
                    'Order Side'!D49,
                    I48+J48
                )
            )
        )
    ),
)</f>
        <v>0</v>
      </c>
      <c r="I49" s="1">
        <f>J48+I48-'Order Side'!D49</f>
        <v>20</v>
      </c>
      <c r="J49" s="1">
        <f t="shared" si="3"/>
        <v>0</v>
      </c>
      <c r="K49" s="1">
        <f>IF('Order Side'!G49,
    IF('Order Side'!E49 &lt;= L48,
        'Order Side'!E49,
        IF(L49&lt;0,
            IF(L48&gt;0,
                IF(L48+M48 &gt; 'Order Side'!E49,
                    'Order Side'!E49,
                    L48 + M48
                ),
                IF(M48 &gt;= 'Order Side'!E49 -L48,
                    'Order Side'!E49 -L48,
                    M48
                )
            ),
            IF(L48&lt;0,
                IF( M48 &gt;= 'Order Side'!E49 -L48,
                    'Order Side'!E49 -L48,
                    M48
                ),
                IF(L48+M48 &gt; 'Order Side'!E49,
                    'Order Side'!E49,
                    L48+M48
                )
            )
        )
    ),
)</f>
        <v>0</v>
      </c>
      <c r="L49" s="1">
        <f>M48+L48-'Order Side'!E49</f>
        <v>20</v>
      </c>
      <c r="M49" s="1">
        <f t="shared" si="4"/>
        <v>0</v>
      </c>
      <c r="N49" s="1">
        <f>'Order Side'!F49</f>
        <v>0</v>
      </c>
    </row>
    <row r="50" spans="1:14" x14ac:dyDescent="0.25">
      <c r="A50" s="2">
        <f t="shared" si="0"/>
        <v>49</v>
      </c>
      <c r="B50" s="1">
        <f ca="1">IF('Order Side'!G50,
    IF('Order Side'!B50 &lt;= C49,
        'Order Side'!B50,
        IF(I50&lt;0,
            IF(C49&gt;0,
                IF(C49+D49 &gt; 'Order Side'!B50,
                    'Order Side'!B50,
                    C49 + D49
                ),
                IF(D49 &gt;= 'Order Side'!B50 -C49,
                    'Order Side'!B50 -C49,
                    D49
                )
            ),
            IF(C49&lt;0,
                IF( D49 &gt;= 'Order Side'!B50 -C49,
                    'Order Side'!B50 -C49,
                    D49
                ),
                IF(C49+D49 &gt; 'Order Side'!B50,
                    'Order Side'!B50,
                    C49+D49
                )
            )
        )
    ),
)</f>
        <v>0</v>
      </c>
      <c r="C50" s="4">
        <f ca="1">D49+C49-'Order Side'!B50</f>
        <v>-489</v>
      </c>
      <c r="D50" s="1">
        <f t="shared" si="1"/>
        <v>0</v>
      </c>
      <c r="E50" s="1">
        <f>IF('Order Side'!G50,
    IF('Order Side'!C50 &lt;= F49,
        'Order Side'!C50,
        IF(I50&lt;0,
            IF(F49&gt;0,
                IF(F49+G49 &gt; 'Order Side'!C50,
                    'Order Side'!C50,
                    F49 + G49
                ),
                IF(G49 &gt;= 'Order Side'!C50 -F49,
                    'Order Side'!C50 -F49,
                    G49
                )
            ),
            IF(F49&lt;0,
                IF( G49 &gt;= 'Order Side'!C50 -F49,
                    'Order Side'!C50 -F49,
                    G49
                ),
                IF(F49+G49 &gt; 'Order Side'!C50,
                    'Order Side'!C50,
                    F49+G49
                )
            )
        )
    ),
)</f>
        <v>0</v>
      </c>
      <c r="F50" s="1">
        <f>G49+F49-'Order Side'!C50</f>
        <v>20</v>
      </c>
      <c r="G50" s="1">
        <f t="shared" si="2"/>
        <v>0</v>
      </c>
      <c r="H50" s="1">
        <f>IF('Order Side'!G50,
    IF('Order Side'!D50 &lt;= I49,
        'Order Side'!D50,
        IF(I50&lt;0,
            IF(I49&gt;0,
                IF(I49+J49 &gt; 'Order Side'!D50,
                    'Order Side'!D50,
                    I49 + J49
                ),
                IF(J49 &gt;= 'Order Side'!D50 -I49,
                    'Order Side'!D50 -I49,
                    J49
                )
            ),
            IF(I49&lt;0,
                IF( J49 &gt;= 'Order Side'!D50 -I49,
                    'Order Side'!D50 -I49,
                    J49
                ),
                IF(I49+J49 &gt; 'Order Side'!D50,
                    'Order Side'!D50,
                    I49+J49
                )
            )
        )
    ),
)</f>
        <v>0</v>
      </c>
      <c r="I50" s="1">
        <f>J49+I49-'Order Side'!D50</f>
        <v>20</v>
      </c>
      <c r="J50" s="1">
        <f t="shared" si="3"/>
        <v>0</v>
      </c>
      <c r="K50" s="1">
        <f>IF('Order Side'!G50,
    IF('Order Side'!E50 &lt;= L49,
        'Order Side'!E50,
        IF(L50&lt;0,
            IF(L49&gt;0,
                IF(L49+M49 &gt; 'Order Side'!E50,
                    'Order Side'!E50,
                    L49 + M49
                ),
                IF(M49 &gt;= 'Order Side'!E50 -L49,
                    'Order Side'!E50 -L49,
                    M49
                )
            ),
            IF(L49&lt;0,
                IF( M49 &gt;= 'Order Side'!E50 -L49,
                    'Order Side'!E50 -L49,
                    M49
                ),
                IF(L49+M49 &gt; 'Order Side'!E50,
                    'Order Side'!E50,
                    L49+M49
                )
            )
        )
    ),
)</f>
        <v>0</v>
      </c>
      <c r="L50" s="1">
        <f>M49+L49-'Order Side'!E50</f>
        <v>20</v>
      </c>
      <c r="M50" s="1">
        <f t="shared" si="4"/>
        <v>0</v>
      </c>
      <c r="N50" s="1">
        <f>'Order Side'!F50</f>
        <v>0</v>
      </c>
    </row>
    <row r="51" spans="1:14" x14ac:dyDescent="0.25">
      <c r="A51" s="2">
        <f t="shared" si="0"/>
        <v>50</v>
      </c>
      <c r="B51" s="1">
        <f ca="1">IF('Order Side'!G51,
    IF('Order Side'!B51 &lt;= C50,
        'Order Side'!B51,
        IF(I51&lt;0,
            IF(C50&gt;0,
                IF(C50+D50 &gt; 'Order Side'!B51,
                    'Order Side'!B51,
                    C50 + D50
                ),
                IF(D50 &gt;= 'Order Side'!B51 -C50,
                    'Order Side'!B51 -C50,
                    D50
                )
            ),
            IF(C50&lt;0,
                IF( D50 &gt;= 'Order Side'!B51 -C50,
                    'Order Side'!B51 -C50,
                    D50
                ),
                IF(C50+D50 &gt; 'Order Side'!B51,
                    'Order Side'!B51,
                    C50+D50
                )
            )
        )
    ),
)</f>
        <v>0</v>
      </c>
      <c r="C51" s="4">
        <f ca="1">D50+C50-'Order Side'!B51</f>
        <v>-501</v>
      </c>
      <c r="D51" s="1">
        <f t="shared" si="1"/>
        <v>0</v>
      </c>
      <c r="E51" s="1">
        <f>IF('Order Side'!G51,
    IF('Order Side'!C51 &lt;= F50,
        'Order Side'!C51,
        IF(I51&lt;0,
            IF(F50&gt;0,
                IF(F50+G50 &gt; 'Order Side'!C51,
                    'Order Side'!C51,
                    F50 + G50
                ),
                IF(G50 &gt;= 'Order Side'!C51 -F50,
                    'Order Side'!C51 -F50,
                    G50
                )
            ),
            IF(F50&lt;0,
                IF( G50 &gt;= 'Order Side'!C51 -F50,
                    'Order Side'!C51 -F50,
                    G50
                ),
                IF(F50+G50 &gt; 'Order Side'!C51,
                    'Order Side'!C51,
                    F50+G50
                )
            )
        )
    ),
)</f>
        <v>0</v>
      </c>
      <c r="F51" s="1">
        <f>G50+F50-'Order Side'!C51</f>
        <v>20</v>
      </c>
      <c r="G51" s="1">
        <f t="shared" si="2"/>
        <v>0</v>
      </c>
      <c r="H51" s="1">
        <f>IF('Order Side'!G51,
    IF('Order Side'!D51 &lt;= I50,
        'Order Side'!D51,
        IF(I51&lt;0,
            IF(I50&gt;0,
                IF(I50+J50 &gt; 'Order Side'!D51,
                    'Order Side'!D51,
                    I50 + J50
                ),
                IF(J50 &gt;= 'Order Side'!D51 -I50,
                    'Order Side'!D51 -I50,
                    J50
                )
            ),
            IF(I50&lt;0,
                IF( J50 &gt;= 'Order Side'!D51 -I50,
                    'Order Side'!D51 -I50,
                    J50
                ),
                IF(I50+J50 &gt; 'Order Side'!D51,
                    'Order Side'!D51,
                    I50+J50
                )
            )
        )
    ),
)</f>
        <v>0</v>
      </c>
      <c r="I51" s="1">
        <f>J50+I50-'Order Side'!D51</f>
        <v>20</v>
      </c>
      <c r="J51" s="1">
        <f t="shared" si="3"/>
        <v>0</v>
      </c>
      <c r="K51" s="1">
        <f>IF('Order Side'!G51,
    IF('Order Side'!E51 &lt;= L50,
        'Order Side'!E51,
        IF(L51&lt;0,
            IF(L50&gt;0,
                IF(L50+M50 &gt; 'Order Side'!E51,
                    'Order Side'!E51,
                    L50 + M50
                ),
                IF(M50 &gt;= 'Order Side'!E51 -L50,
                    'Order Side'!E51 -L50,
                    M50
                )
            ),
            IF(L50&lt;0,
                IF( M50 &gt;= 'Order Side'!E51 -L50,
                    'Order Side'!E51 -L50,
                    M50
                ),
                IF(L50+M50 &gt; 'Order Side'!E51,
                    'Order Side'!E51,
                    L50+M50
                )
            )
        )
    ),
)</f>
        <v>0</v>
      </c>
      <c r="L51" s="1">
        <f>M50+L50-'Order Side'!E51</f>
        <v>20</v>
      </c>
      <c r="M51" s="1">
        <f t="shared" si="4"/>
        <v>0</v>
      </c>
      <c r="N51" s="1">
        <f>'Order Side'!F51</f>
        <v>0</v>
      </c>
    </row>
    <row r="52" spans="1:14" x14ac:dyDescent="0.25">
      <c r="A52" s="2"/>
    </row>
    <row r="53" spans="1:14" x14ac:dyDescent="0.25">
      <c r="A53" s="2"/>
    </row>
    <row r="54" spans="1:14" x14ac:dyDescent="0.25">
      <c r="A54" s="2"/>
    </row>
    <row r="55" spans="1:14" x14ac:dyDescent="0.25">
      <c r="A55" s="2"/>
    </row>
    <row r="56" spans="1:14" x14ac:dyDescent="0.25">
      <c r="A56" s="2"/>
    </row>
    <row r="57" spans="1:14" x14ac:dyDescent="0.25">
      <c r="A57" s="2"/>
    </row>
    <row r="58" spans="1:14" x14ac:dyDescent="0.25">
      <c r="A58" s="2"/>
    </row>
    <row r="59" spans="1:14" x14ac:dyDescent="0.25">
      <c r="A59" s="2"/>
    </row>
    <row r="60" spans="1:14" x14ac:dyDescent="0.25">
      <c r="A60" s="2"/>
    </row>
    <row r="61" spans="1:14" x14ac:dyDescent="0.25">
      <c r="A61" s="2"/>
    </row>
    <row r="62" spans="1:14" x14ac:dyDescent="0.25">
      <c r="A62" s="2"/>
    </row>
    <row r="63" spans="1:14" x14ac:dyDescent="0.25">
      <c r="A63" s="2"/>
    </row>
    <row r="64" spans="1:14"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row r="631" spans="1:1" x14ac:dyDescent="0.25">
      <c r="A631" s="2"/>
    </row>
    <row r="632" spans="1:1" x14ac:dyDescent="0.25">
      <c r="A632" s="2"/>
    </row>
    <row r="633" spans="1:1" x14ac:dyDescent="0.25">
      <c r="A633" s="2"/>
    </row>
    <row r="634" spans="1:1" x14ac:dyDescent="0.25">
      <c r="A634" s="2"/>
    </row>
    <row r="635" spans="1:1" x14ac:dyDescent="0.25">
      <c r="A635" s="2"/>
    </row>
    <row r="636" spans="1:1" x14ac:dyDescent="0.25">
      <c r="A636" s="2"/>
    </row>
    <row r="637" spans="1:1" x14ac:dyDescent="0.25">
      <c r="A637" s="2"/>
    </row>
    <row r="638" spans="1:1" x14ac:dyDescent="0.25">
      <c r="A638" s="2"/>
    </row>
    <row r="639" spans="1:1" x14ac:dyDescent="0.25">
      <c r="A639" s="2"/>
    </row>
    <row r="640" spans="1:1" x14ac:dyDescent="0.25">
      <c r="A640" s="2"/>
    </row>
    <row r="641" spans="1:1" x14ac:dyDescent="0.25">
      <c r="A641" s="2"/>
    </row>
    <row r="642" spans="1:1" x14ac:dyDescent="0.25">
      <c r="A642" s="2"/>
    </row>
    <row r="643" spans="1:1" x14ac:dyDescent="0.25">
      <c r="A643" s="2"/>
    </row>
    <row r="644" spans="1:1" x14ac:dyDescent="0.25">
      <c r="A644" s="2"/>
    </row>
    <row r="645" spans="1:1" x14ac:dyDescent="0.25">
      <c r="A645" s="2"/>
    </row>
    <row r="646" spans="1:1" x14ac:dyDescent="0.25">
      <c r="A646" s="2"/>
    </row>
    <row r="647" spans="1:1" x14ac:dyDescent="0.25">
      <c r="A647" s="2"/>
    </row>
    <row r="648" spans="1:1" x14ac:dyDescent="0.25">
      <c r="A648" s="2"/>
    </row>
    <row r="649" spans="1:1" x14ac:dyDescent="0.25">
      <c r="A649" s="2"/>
    </row>
    <row r="650" spans="1:1" x14ac:dyDescent="0.25">
      <c r="A650" s="2"/>
    </row>
    <row r="651" spans="1:1" x14ac:dyDescent="0.25">
      <c r="A651" s="2"/>
    </row>
    <row r="652" spans="1:1" x14ac:dyDescent="0.25">
      <c r="A652" s="2"/>
    </row>
    <row r="653" spans="1:1" x14ac:dyDescent="0.25">
      <c r="A653" s="2"/>
    </row>
    <row r="654" spans="1:1" x14ac:dyDescent="0.25">
      <c r="A654" s="2"/>
    </row>
    <row r="655" spans="1:1" x14ac:dyDescent="0.25">
      <c r="A655" s="2"/>
    </row>
    <row r="656" spans="1:1" x14ac:dyDescent="0.25">
      <c r="A656" s="2"/>
    </row>
    <row r="657" spans="1:1" x14ac:dyDescent="0.25">
      <c r="A657" s="2"/>
    </row>
    <row r="658" spans="1:1" x14ac:dyDescent="0.25">
      <c r="A658" s="2"/>
    </row>
    <row r="659" spans="1:1" x14ac:dyDescent="0.25">
      <c r="A659" s="2"/>
    </row>
    <row r="660" spans="1:1" x14ac:dyDescent="0.25">
      <c r="A660" s="2"/>
    </row>
    <row r="661" spans="1:1" x14ac:dyDescent="0.25">
      <c r="A661" s="2"/>
    </row>
    <row r="662" spans="1:1" x14ac:dyDescent="0.25">
      <c r="A662" s="2"/>
    </row>
    <row r="663" spans="1:1" x14ac:dyDescent="0.25">
      <c r="A663" s="2"/>
    </row>
    <row r="664" spans="1:1" x14ac:dyDescent="0.25">
      <c r="A664" s="2"/>
    </row>
    <row r="665" spans="1:1" x14ac:dyDescent="0.25">
      <c r="A665" s="2"/>
    </row>
    <row r="666" spans="1:1" x14ac:dyDescent="0.25">
      <c r="A666" s="2"/>
    </row>
    <row r="667" spans="1:1" x14ac:dyDescent="0.25">
      <c r="A667" s="2"/>
    </row>
    <row r="668" spans="1:1" x14ac:dyDescent="0.25">
      <c r="A668" s="2"/>
    </row>
    <row r="669" spans="1:1" x14ac:dyDescent="0.25">
      <c r="A669" s="2"/>
    </row>
    <row r="670" spans="1:1" x14ac:dyDescent="0.25">
      <c r="A670" s="2"/>
    </row>
    <row r="671" spans="1:1" x14ac:dyDescent="0.25">
      <c r="A671" s="2"/>
    </row>
    <row r="672" spans="1:1" x14ac:dyDescent="0.25">
      <c r="A672" s="2"/>
    </row>
    <row r="673" spans="1:1" x14ac:dyDescent="0.25">
      <c r="A673" s="2"/>
    </row>
    <row r="674" spans="1:1" x14ac:dyDescent="0.25">
      <c r="A674" s="2"/>
    </row>
    <row r="675" spans="1:1" x14ac:dyDescent="0.25">
      <c r="A675" s="2"/>
    </row>
    <row r="676" spans="1:1" x14ac:dyDescent="0.25">
      <c r="A676" s="2"/>
    </row>
    <row r="677" spans="1:1" x14ac:dyDescent="0.25">
      <c r="A677" s="2"/>
    </row>
    <row r="678" spans="1:1" x14ac:dyDescent="0.25">
      <c r="A678" s="2"/>
    </row>
    <row r="679" spans="1:1" x14ac:dyDescent="0.25">
      <c r="A679" s="2"/>
    </row>
    <row r="680" spans="1:1" x14ac:dyDescent="0.25">
      <c r="A680" s="2"/>
    </row>
    <row r="681" spans="1:1" x14ac:dyDescent="0.25">
      <c r="A681" s="2"/>
    </row>
    <row r="682" spans="1:1" x14ac:dyDescent="0.25">
      <c r="A682" s="2"/>
    </row>
    <row r="683" spans="1:1" x14ac:dyDescent="0.25">
      <c r="A683" s="2"/>
    </row>
    <row r="684" spans="1:1" x14ac:dyDescent="0.25">
      <c r="A684" s="2"/>
    </row>
    <row r="685" spans="1:1" x14ac:dyDescent="0.25">
      <c r="A685" s="2"/>
    </row>
    <row r="686" spans="1:1" x14ac:dyDescent="0.25">
      <c r="A686" s="2"/>
    </row>
    <row r="687" spans="1:1" x14ac:dyDescent="0.25">
      <c r="A687" s="2"/>
    </row>
    <row r="688" spans="1:1" x14ac:dyDescent="0.25">
      <c r="A688" s="2"/>
    </row>
    <row r="689" spans="1:1" x14ac:dyDescent="0.25">
      <c r="A689" s="2"/>
    </row>
    <row r="690" spans="1:1" x14ac:dyDescent="0.25">
      <c r="A690" s="2"/>
    </row>
    <row r="691" spans="1:1" x14ac:dyDescent="0.25">
      <c r="A691" s="2"/>
    </row>
    <row r="692" spans="1:1" x14ac:dyDescent="0.25">
      <c r="A692" s="2"/>
    </row>
    <row r="693" spans="1:1" x14ac:dyDescent="0.25">
      <c r="A693" s="2"/>
    </row>
    <row r="694" spans="1:1" x14ac:dyDescent="0.25">
      <c r="A694" s="2"/>
    </row>
    <row r="695" spans="1:1" x14ac:dyDescent="0.25">
      <c r="A695" s="2"/>
    </row>
    <row r="696" spans="1:1" x14ac:dyDescent="0.25">
      <c r="A696" s="2"/>
    </row>
    <row r="697" spans="1:1" x14ac:dyDescent="0.25">
      <c r="A697" s="2"/>
    </row>
    <row r="698" spans="1:1" x14ac:dyDescent="0.25">
      <c r="A698" s="2"/>
    </row>
    <row r="699" spans="1:1" x14ac:dyDescent="0.25">
      <c r="A699" s="2"/>
    </row>
    <row r="700" spans="1:1" x14ac:dyDescent="0.25">
      <c r="A700" s="2"/>
    </row>
    <row r="701" spans="1:1" x14ac:dyDescent="0.25">
      <c r="A701" s="2"/>
    </row>
    <row r="702" spans="1:1" x14ac:dyDescent="0.25">
      <c r="A702" s="2"/>
    </row>
    <row r="703" spans="1:1" x14ac:dyDescent="0.25">
      <c r="A703" s="2"/>
    </row>
    <row r="704" spans="1:1" x14ac:dyDescent="0.25">
      <c r="A704" s="2"/>
    </row>
    <row r="705" spans="1:1" x14ac:dyDescent="0.25">
      <c r="A705" s="2"/>
    </row>
    <row r="706" spans="1:1" x14ac:dyDescent="0.25">
      <c r="A706" s="2"/>
    </row>
    <row r="707" spans="1:1" x14ac:dyDescent="0.25">
      <c r="A707" s="2"/>
    </row>
    <row r="708" spans="1:1" x14ac:dyDescent="0.25">
      <c r="A708" s="2"/>
    </row>
    <row r="709" spans="1:1" x14ac:dyDescent="0.25">
      <c r="A709" s="2"/>
    </row>
    <row r="710" spans="1:1" x14ac:dyDescent="0.25">
      <c r="A710" s="2"/>
    </row>
    <row r="711" spans="1:1" x14ac:dyDescent="0.25">
      <c r="A711" s="2"/>
    </row>
    <row r="712" spans="1:1" x14ac:dyDescent="0.25">
      <c r="A712" s="2"/>
    </row>
    <row r="713" spans="1:1" x14ac:dyDescent="0.25">
      <c r="A713" s="2"/>
    </row>
    <row r="714" spans="1:1" x14ac:dyDescent="0.25">
      <c r="A714" s="2"/>
    </row>
    <row r="715" spans="1:1" x14ac:dyDescent="0.25">
      <c r="A715" s="2"/>
    </row>
    <row r="716" spans="1:1" x14ac:dyDescent="0.25">
      <c r="A716" s="2"/>
    </row>
    <row r="717" spans="1:1" x14ac:dyDescent="0.25">
      <c r="A717" s="2"/>
    </row>
    <row r="718" spans="1:1" x14ac:dyDescent="0.25">
      <c r="A718" s="2"/>
    </row>
    <row r="719" spans="1:1" x14ac:dyDescent="0.25">
      <c r="A719" s="2"/>
    </row>
    <row r="720" spans="1:1" x14ac:dyDescent="0.25">
      <c r="A720" s="2"/>
    </row>
    <row r="721" spans="1:1" x14ac:dyDescent="0.25">
      <c r="A721" s="2"/>
    </row>
    <row r="722" spans="1:1" x14ac:dyDescent="0.25">
      <c r="A722" s="2"/>
    </row>
    <row r="723" spans="1:1" x14ac:dyDescent="0.25">
      <c r="A723" s="2"/>
    </row>
    <row r="724" spans="1:1" x14ac:dyDescent="0.25">
      <c r="A724" s="2"/>
    </row>
    <row r="725" spans="1:1" x14ac:dyDescent="0.25">
      <c r="A725" s="2"/>
    </row>
    <row r="726" spans="1:1" x14ac:dyDescent="0.25">
      <c r="A726" s="2"/>
    </row>
    <row r="727" spans="1:1" x14ac:dyDescent="0.25">
      <c r="A727" s="2"/>
    </row>
    <row r="728" spans="1:1" x14ac:dyDescent="0.25">
      <c r="A728" s="2"/>
    </row>
    <row r="729" spans="1:1" x14ac:dyDescent="0.25">
      <c r="A729" s="2"/>
    </row>
    <row r="730" spans="1:1" x14ac:dyDescent="0.25">
      <c r="A730" s="2"/>
    </row>
    <row r="731" spans="1:1" x14ac:dyDescent="0.25">
      <c r="A731" s="2"/>
    </row>
    <row r="732" spans="1:1" x14ac:dyDescent="0.25">
      <c r="A732" s="2"/>
    </row>
    <row r="733" spans="1:1" x14ac:dyDescent="0.25">
      <c r="A733" s="2"/>
    </row>
    <row r="734" spans="1:1" x14ac:dyDescent="0.25">
      <c r="A734" s="2"/>
    </row>
    <row r="735" spans="1:1" x14ac:dyDescent="0.25">
      <c r="A735" s="2"/>
    </row>
    <row r="736" spans="1:1" x14ac:dyDescent="0.25">
      <c r="A736" s="2"/>
    </row>
    <row r="737" spans="1:1" x14ac:dyDescent="0.25">
      <c r="A737" s="2"/>
    </row>
    <row r="738" spans="1:1" x14ac:dyDescent="0.25">
      <c r="A738" s="2"/>
    </row>
    <row r="739" spans="1:1" x14ac:dyDescent="0.25">
      <c r="A739" s="2"/>
    </row>
    <row r="740" spans="1:1" x14ac:dyDescent="0.25">
      <c r="A740" s="2"/>
    </row>
    <row r="741" spans="1:1" x14ac:dyDescent="0.25">
      <c r="A741" s="2"/>
    </row>
    <row r="742" spans="1:1" x14ac:dyDescent="0.25">
      <c r="A742" s="2"/>
    </row>
    <row r="743" spans="1:1" x14ac:dyDescent="0.25">
      <c r="A743" s="2"/>
    </row>
    <row r="744" spans="1:1" x14ac:dyDescent="0.25">
      <c r="A744" s="2"/>
    </row>
    <row r="745" spans="1:1" x14ac:dyDescent="0.25">
      <c r="A745" s="2"/>
    </row>
    <row r="746" spans="1:1" x14ac:dyDescent="0.25">
      <c r="A746" s="2"/>
    </row>
    <row r="747" spans="1:1" x14ac:dyDescent="0.25">
      <c r="A747" s="2"/>
    </row>
    <row r="748" spans="1:1" x14ac:dyDescent="0.25">
      <c r="A748" s="2"/>
    </row>
    <row r="749" spans="1:1" x14ac:dyDescent="0.25">
      <c r="A749" s="2"/>
    </row>
    <row r="750" spans="1:1" x14ac:dyDescent="0.25">
      <c r="A750" s="2"/>
    </row>
    <row r="751" spans="1:1" x14ac:dyDescent="0.25">
      <c r="A751" s="2"/>
    </row>
    <row r="752" spans="1:1" x14ac:dyDescent="0.25">
      <c r="A752" s="2"/>
    </row>
    <row r="753" spans="1:1" x14ac:dyDescent="0.25">
      <c r="A753" s="2"/>
    </row>
    <row r="754" spans="1:1" x14ac:dyDescent="0.25">
      <c r="A754" s="2"/>
    </row>
    <row r="755" spans="1:1" x14ac:dyDescent="0.25">
      <c r="A755" s="2"/>
    </row>
    <row r="756" spans="1:1" x14ac:dyDescent="0.25">
      <c r="A756" s="2"/>
    </row>
    <row r="757" spans="1:1" x14ac:dyDescent="0.25">
      <c r="A757" s="2"/>
    </row>
    <row r="758" spans="1:1" x14ac:dyDescent="0.25">
      <c r="A758" s="2"/>
    </row>
    <row r="759" spans="1:1" x14ac:dyDescent="0.25">
      <c r="A759" s="2"/>
    </row>
    <row r="760" spans="1:1" x14ac:dyDescent="0.25">
      <c r="A760" s="2"/>
    </row>
    <row r="761" spans="1:1" x14ac:dyDescent="0.25">
      <c r="A761" s="2"/>
    </row>
    <row r="762" spans="1:1" x14ac:dyDescent="0.25">
      <c r="A762" s="2"/>
    </row>
    <row r="763" spans="1:1" x14ac:dyDescent="0.25">
      <c r="A763" s="2"/>
    </row>
    <row r="764" spans="1:1" x14ac:dyDescent="0.25">
      <c r="A764" s="2"/>
    </row>
    <row r="765" spans="1:1" x14ac:dyDescent="0.25">
      <c r="A765" s="2"/>
    </row>
    <row r="766" spans="1:1" x14ac:dyDescent="0.25">
      <c r="A766" s="2"/>
    </row>
    <row r="767" spans="1:1" x14ac:dyDescent="0.25">
      <c r="A767" s="2"/>
    </row>
    <row r="768" spans="1:1" x14ac:dyDescent="0.25">
      <c r="A768" s="2"/>
    </row>
    <row r="769" spans="1:1" x14ac:dyDescent="0.25">
      <c r="A769" s="2"/>
    </row>
    <row r="770" spans="1:1" x14ac:dyDescent="0.25">
      <c r="A770" s="2"/>
    </row>
    <row r="771" spans="1:1" x14ac:dyDescent="0.25">
      <c r="A771" s="2"/>
    </row>
    <row r="772" spans="1:1" x14ac:dyDescent="0.25">
      <c r="A772" s="2"/>
    </row>
    <row r="773" spans="1:1" x14ac:dyDescent="0.25">
      <c r="A773" s="2"/>
    </row>
    <row r="774" spans="1:1" x14ac:dyDescent="0.25">
      <c r="A774" s="2"/>
    </row>
    <row r="775" spans="1:1" x14ac:dyDescent="0.25">
      <c r="A775" s="2"/>
    </row>
    <row r="776" spans="1:1" x14ac:dyDescent="0.25">
      <c r="A776" s="2"/>
    </row>
    <row r="777" spans="1:1" x14ac:dyDescent="0.25">
      <c r="A777" s="2"/>
    </row>
    <row r="778" spans="1:1" x14ac:dyDescent="0.25">
      <c r="A778" s="2"/>
    </row>
    <row r="779" spans="1:1" x14ac:dyDescent="0.25">
      <c r="A779" s="2"/>
    </row>
    <row r="780" spans="1:1" x14ac:dyDescent="0.25">
      <c r="A780" s="2"/>
    </row>
    <row r="781" spans="1:1" x14ac:dyDescent="0.25">
      <c r="A781" s="2"/>
    </row>
    <row r="782" spans="1:1" x14ac:dyDescent="0.25">
      <c r="A782" s="2"/>
    </row>
    <row r="783" spans="1:1" x14ac:dyDescent="0.25">
      <c r="A783" s="2"/>
    </row>
    <row r="784" spans="1:1" x14ac:dyDescent="0.25">
      <c r="A784" s="2"/>
    </row>
    <row r="785" spans="1:1" x14ac:dyDescent="0.25">
      <c r="A785" s="2"/>
    </row>
    <row r="786" spans="1:1" x14ac:dyDescent="0.25">
      <c r="A786" s="2"/>
    </row>
    <row r="787" spans="1:1" x14ac:dyDescent="0.25">
      <c r="A787" s="2"/>
    </row>
    <row r="788" spans="1:1" x14ac:dyDescent="0.25">
      <c r="A788" s="2"/>
    </row>
    <row r="789" spans="1:1" x14ac:dyDescent="0.25">
      <c r="A789" s="2"/>
    </row>
    <row r="790" spans="1:1" x14ac:dyDescent="0.25">
      <c r="A790" s="2"/>
    </row>
    <row r="791" spans="1:1" x14ac:dyDescent="0.25">
      <c r="A791" s="2"/>
    </row>
    <row r="792" spans="1:1" x14ac:dyDescent="0.25">
      <c r="A792" s="2"/>
    </row>
    <row r="793" spans="1:1" x14ac:dyDescent="0.25">
      <c r="A793" s="2"/>
    </row>
    <row r="794" spans="1:1" x14ac:dyDescent="0.25">
      <c r="A794" s="2"/>
    </row>
    <row r="795" spans="1:1" x14ac:dyDescent="0.25">
      <c r="A795" s="2"/>
    </row>
    <row r="796" spans="1:1" x14ac:dyDescent="0.25">
      <c r="A796" s="2"/>
    </row>
    <row r="797" spans="1:1" x14ac:dyDescent="0.25">
      <c r="A797" s="2"/>
    </row>
    <row r="798" spans="1:1" x14ac:dyDescent="0.25">
      <c r="A798" s="2"/>
    </row>
    <row r="799" spans="1:1" x14ac:dyDescent="0.25">
      <c r="A799" s="2"/>
    </row>
    <row r="800" spans="1:1" x14ac:dyDescent="0.25">
      <c r="A800" s="2"/>
    </row>
    <row r="801" spans="1:1" x14ac:dyDescent="0.25">
      <c r="A801" s="2"/>
    </row>
    <row r="802" spans="1:1" x14ac:dyDescent="0.25">
      <c r="A802" s="2"/>
    </row>
    <row r="803" spans="1:1" x14ac:dyDescent="0.25">
      <c r="A803" s="2"/>
    </row>
    <row r="804" spans="1:1" x14ac:dyDescent="0.25">
      <c r="A804" s="2"/>
    </row>
    <row r="805" spans="1:1" x14ac:dyDescent="0.25">
      <c r="A805" s="2"/>
    </row>
    <row r="806" spans="1:1" x14ac:dyDescent="0.25">
      <c r="A806" s="2"/>
    </row>
    <row r="807" spans="1:1" x14ac:dyDescent="0.25">
      <c r="A807" s="2"/>
    </row>
    <row r="808" spans="1:1" x14ac:dyDescent="0.25">
      <c r="A808" s="2"/>
    </row>
    <row r="809" spans="1:1" x14ac:dyDescent="0.25">
      <c r="A809" s="2"/>
    </row>
    <row r="810" spans="1:1" x14ac:dyDescent="0.25">
      <c r="A810" s="2"/>
    </row>
    <row r="811" spans="1:1" x14ac:dyDescent="0.25">
      <c r="A811" s="2"/>
    </row>
    <row r="812" spans="1:1" x14ac:dyDescent="0.25">
      <c r="A812" s="2"/>
    </row>
    <row r="813" spans="1:1" x14ac:dyDescent="0.25">
      <c r="A813" s="2"/>
    </row>
    <row r="814" spans="1:1" x14ac:dyDescent="0.25">
      <c r="A814" s="2"/>
    </row>
    <row r="815" spans="1:1" x14ac:dyDescent="0.25">
      <c r="A815" s="2"/>
    </row>
    <row r="816" spans="1:1" x14ac:dyDescent="0.25">
      <c r="A816" s="2"/>
    </row>
    <row r="817" spans="1:1" x14ac:dyDescent="0.25">
      <c r="A817" s="2"/>
    </row>
    <row r="818" spans="1:1" x14ac:dyDescent="0.25">
      <c r="A818" s="2"/>
    </row>
    <row r="819" spans="1:1" x14ac:dyDescent="0.25">
      <c r="A819" s="2"/>
    </row>
    <row r="820" spans="1:1" x14ac:dyDescent="0.25">
      <c r="A820" s="2"/>
    </row>
    <row r="821" spans="1:1" x14ac:dyDescent="0.25">
      <c r="A821" s="2"/>
    </row>
    <row r="822" spans="1:1" x14ac:dyDescent="0.25">
      <c r="A822" s="2"/>
    </row>
    <row r="823" spans="1:1" x14ac:dyDescent="0.25">
      <c r="A823" s="2"/>
    </row>
    <row r="824" spans="1:1" x14ac:dyDescent="0.25">
      <c r="A824" s="2"/>
    </row>
    <row r="825" spans="1:1" x14ac:dyDescent="0.25">
      <c r="A825" s="2"/>
    </row>
    <row r="826" spans="1:1" x14ac:dyDescent="0.25">
      <c r="A826" s="2"/>
    </row>
    <row r="827" spans="1:1" x14ac:dyDescent="0.25">
      <c r="A827" s="2"/>
    </row>
    <row r="828" spans="1:1" x14ac:dyDescent="0.25">
      <c r="A828" s="2"/>
    </row>
    <row r="829" spans="1:1" x14ac:dyDescent="0.25">
      <c r="A829" s="2"/>
    </row>
    <row r="830" spans="1:1" x14ac:dyDescent="0.25">
      <c r="A830" s="2"/>
    </row>
    <row r="831" spans="1:1" x14ac:dyDescent="0.25">
      <c r="A831" s="2"/>
    </row>
    <row r="832" spans="1:1" x14ac:dyDescent="0.25">
      <c r="A832" s="2"/>
    </row>
    <row r="833" spans="1:1" x14ac:dyDescent="0.25">
      <c r="A833" s="2"/>
    </row>
    <row r="834" spans="1:1" x14ac:dyDescent="0.25">
      <c r="A834" s="2"/>
    </row>
    <row r="835" spans="1:1" x14ac:dyDescent="0.25">
      <c r="A835" s="2"/>
    </row>
    <row r="836" spans="1:1" x14ac:dyDescent="0.25">
      <c r="A836" s="2"/>
    </row>
    <row r="837" spans="1:1" x14ac:dyDescent="0.25">
      <c r="A837" s="2"/>
    </row>
    <row r="838" spans="1:1" x14ac:dyDescent="0.25">
      <c r="A838" s="2"/>
    </row>
    <row r="839" spans="1:1" x14ac:dyDescent="0.25">
      <c r="A839" s="2"/>
    </row>
    <row r="840" spans="1:1" x14ac:dyDescent="0.25">
      <c r="A840" s="2"/>
    </row>
    <row r="841" spans="1:1" x14ac:dyDescent="0.25">
      <c r="A841" s="2"/>
    </row>
    <row r="842" spans="1:1" x14ac:dyDescent="0.25">
      <c r="A842" s="2"/>
    </row>
    <row r="843" spans="1:1" x14ac:dyDescent="0.25">
      <c r="A843" s="2"/>
    </row>
    <row r="844" spans="1:1" x14ac:dyDescent="0.25">
      <c r="A844" s="2"/>
    </row>
    <row r="845" spans="1:1" x14ac:dyDescent="0.25">
      <c r="A845" s="2"/>
    </row>
    <row r="846" spans="1:1" x14ac:dyDescent="0.25">
      <c r="A846" s="2"/>
    </row>
    <row r="847" spans="1:1" x14ac:dyDescent="0.25">
      <c r="A847" s="2"/>
    </row>
    <row r="848" spans="1:1" x14ac:dyDescent="0.25">
      <c r="A848" s="2"/>
    </row>
    <row r="849" spans="1:1" x14ac:dyDescent="0.25">
      <c r="A849" s="2"/>
    </row>
    <row r="850" spans="1:1" x14ac:dyDescent="0.25">
      <c r="A850" s="2"/>
    </row>
    <row r="851" spans="1:1" x14ac:dyDescent="0.25">
      <c r="A851" s="2"/>
    </row>
    <row r="852" spans="1:1" x14ac:dyDescent="0.25">
      <c r="A852" s="2"/>
    </row>
    <row r="853" spans="1:1" x14ac:dyDescent="0.25">
      <c r="A853" s="2"/>
    </row>
    <row r="854" spans="1:1" x14ac:dyDescent="0.25">
      <c r="A854" s="2"/>
    </row>
    <row r="855" spans="1:1" x14ac:dyDescent="0.25">
      <c r="A855" s="2"/>
    </row>
    <row r="856" spans="1:1" x14ac:dyDescent="0.25">
      <c r="A856" s="2"/>
    </row>
    <row r="857" spans="1:1" x14ac:dyDescent="0.25">
      <c r="A857" s="2"/>
    </row>
    <row r="858" spans="1:1" x14ac:dyDescent="0.25">
      <c r="A858" s="2"/>
    </row>
    <row r="859" spans="1:1" x14ac:dyDescent="0.25">
      <c r="A859" s="2"/>
    </row>
    <row r="860" spans="1:1" x14ac:dyDescent="0.25">
      <c r="A860" s="2"/>
    </row>
    <row r="861" spans="1:1" x14ac:dyDescent="0.25">
      <c r="A861" s="2"/>
    </row>
    <row r="862" spans="1:1" x14ac:dyDescent="0.25">
      <c r="A862" s="2"/>
    </row>
    <row r="863" spans="1:1" x14ac:dyDescent="0.25">
      <c r="A863" s="2"/>
    </row>
    <row r="864" spans="1:1" x14ac:dyDescent="0.25">
      <c r="A864" s="2"/>
    </row>
    <row r="865" spans="1:1" x14ac:dyDescent="0.25">
      <c r="A865" s="2"/>
    </row>
    <row r="866" spans="1:1" x14ac:dyDescent="0.25">
      <c r="A866" s="2"/>
    </row>
    <row r="867" spans="1:1" x14ac:dyDescent="0.25">
      <c r="A867" s="2"/>
    </row>
    <row r="868" spans="1:1" x14ac:dyDescent="0.25">
      <c r="A868" s="2"/>
    </row>
    <row r="869" spans="1:1" x14ac:dyDescent="0.25">
      <c r="A869" s="2"/>
    </row>
    <row r="870" spans="1:1" x14ac:dyDescent="0.25">
      <c r="A870" s="2"/>
    </row>
    <row r="871" spans="1:1" x14ac:dyDescent="0.25">
      <c r="A871" s="2"/>
    </row>
    <row r="872" spans="1:1" x14ac:dyDescent="0.25">
      <c r="A872" s="2"/>
    </row>
    <row r="873" spans="1:1" x14ac:dyDescent="0.25">
      <c r="A873" s="2"/>
    </row>
    <row r="874" spans="1:1" x14ac:dyDescent="0.25">
      <c r="A874" s="2"/>
    </row>
    <row r="875" spans="1:1" x14ac:dyDescent="0.25">
      <c r="A875" s="2"/>
    </row>
    <row r="876" spans="1:1" x14ac:dyDescent="0.25">
      <c r="A876" s="2"/>
    </row>
    <row r="877" spans="1:1" x14ac:dyDescent="0.25">
      <c r="A877" s="2"/>
    </row>
    <row r="878" spans="1:1" x14ac:dyDescent="0.25">
      <c r="A878" s="2"/>
    </row>
    <row r="879" spans="1:1" x14ac:dyDescent="0.25">
      <c r="A879" s="2"/>
    </row>
    <row r="880" spans="1:1" x14ac:dyDescent="0.25">
      <c r="A880" s="2"/>
    </row>
    <row r="881" spans="1:1" x14ac:dyDescent="0.25">
      <c r="A881" s="2"/>
    </row>
    <row r="882" spans="1:1" x14ac:dyDescent="0.25">
      <c r="A882" s="2"/>
    </row>
    <row r="883" spans="1:1" x14ac:dyDescent="0.25">
      <c r="A883" s="2"/>
    </row>
    <row r="884" spans="1:1" x14ac:dyDescent="0.25">
      <c r="A884" s="2"/>
    </row>
    <row r="885" spans="1:1" x14ac:dyDescent="0.25">
      <c r="A885" s="2"/>
    </row>
    <row r="886" spans="1:1" x14ac:dyDescent="0.25">
      <c r="A886" s="2"/>
    </row>
    <row r="887" spans="1:1" x14ac:dyDescent="0.25">
      <c r="A887" s="2"/>
    </row>
    <row r="888" spans="1:1" x14ac:dyDescent="0.25">
      <c r="A888" s="2"/>
    </row>
    <row r="889" spans="1:1" x14ac:dyDescent="0.25">
      <c r="A889" s="2"/>
    </row>
    <row r="890" spans="1:1" x14ac:dyDescent="0.25">
      <c r="A890" s="2"/>
    </row>
    <row r="891" spans="1:1" x14ac:dyDescent="0.25">
      <c r="A891" s="2"/>
    </row>
    <row r="892" spans="1:1" x14ac:dyDescent="0.25">
      <c r="A892" s="2"/>
    </row>
    <row r="893" spans="1:1" x14ac:dyDescent="0.25">
      <c r="A893" s="2"/>
    </row>
    <row r="894" spans="1:1" x14ac:dyDescent="0.25">
      <c r="A894" s="2"/>
    </row>
    <row r="895" spans="1:1" x14ac:dyDescent="0.25">
      <c r="A895" s="2"/>
    </row>
    <row r="896" spans="1:1" x14ac:dyDescent="0.25">
      <c r="A896" s="2"/>
    </row>
    <row r="897" spans="1:1" x14ac:dyDescent="0.25">
      <c r="A897" s="2"/>
    </row>
    <row r="898" spans="1:1" x14ac:dyDescent="0.25">
      <c r="A898" s="2"/>
    </row>
    <row r="899" spans="1:1" x14ac:dyDescent="0.25">
      <c r="A899" s="2"/>
    </row>
    <row r="900" spans="1:1" x14ac:dyDescent="0.25">
      <c r="A900" s="2"/>
    </row>
    <row r="901" spans="1:1" x14ac:dyDescent="0.25">
      <c r="A901" s="2"/>
    </row>
    <row r="902" spans="1:1" x14ac:dyDescent="0.25">
      <c r="A902" s="2"/>
    </row>
    <row r="903" spans="1:1" x14ac:dyDescent="0.25">
      <c r="A903" s="2"/>
    </row>
    <row r="904" spans="1:1" x14ac:dyDescent="0.25">
      <c r="A904" s="2"/>
    </row>
    <row r="905" spans="1:1" x14ac:dyDescent="0.25">
      <c r="A905" s="2"/>
    </row>
    <row r="906" spans="1:1" x14ac:dyDescent="0.25">
      <c r="A906" s="2"/>
    </row>
    <row r="907" spans="1:1" x14ac:dyDescent="0.25">
      <c r="A907" s="2"/>
    </row>
    <row r="908" spans="1:1" x14ac:dyDescent="0.25">
      <c r="A908" s="2"/>
    </row>
    <row r="909" spans="1:1" x14ac:dyDescent="0.25">
      <c r="A909" s="2"/>
    </row>
    <row r="910" spans="1:1" x14ac:dyDescent="0.25">
      <c r="A910" s="2"/>
    </row>
    <row r="911" spans="1:1" x14ac:dyDescent="0.25">
      <c r="A911" s="2"/>
    </row>
    <row r="912" spans="1:1" x14ac:dyDescent="0.25">
      <c r="A912" s="2"/>
    </row>
    <row r="913" spans="1:1" x14ac:dyDescent="0.25">
      <c r="A913" s="2"/>
    </row>
    <row r="914" spans="1:1" x14ac:dyDescent="0.25">
      <c r="A914" s="2"/>
    </row>
    <row r="915" spans="1:1" x14ac:dyDescent="0.25">
      <c r="A915" s="2"/>
    </row>
    <row r="916" spans="1:1" x14ac:dyDescent="0.25">
      <c r="A916" s="2"/>
    </row>
    <row r="917" spans="1:1" x14ac:dyDescent="0.25">
      <c r="A917" s="2"/>
    </row>
    <row r="918" spans="1:1" x14ac:dyDescent="0.25">
      <c r="A918" s="2"/>
    </row>
    <row r="919" spans="1:1" x14ac:dyDescent="0.25">
      <c r="A919" s="2"/>
    </row>
    <row r="920" spans="1:1" x14ac:dyDescent="0.25">
      <c r="A920" s="2"/>
    </row>
    <row r="921" spans="1:1" x14ac:dyDescent="0.25">
      <c r="A921" s="2"/>
    </row>
    <row r="922" spans="1:1" x14ac:dyDescent="0.25">
      <c r="A922" s="2"/>
    </row>
    <row r="923" spans="1:1" x14ac:dyDescent="0.25">
      <c r="A923" s="2"/>
    </row>
    <row r="924" spans="1:1" x14ac:dyDescent="0.25">
      <c r="A924" s="2"/>
    </row>
    <row r="925" spans="1:1" x14ac:dyDescent="0.25">
      <c r="A925" s="2"/>
    </row>
    <row r="926" spans="1:1" x14ac:dyDescent="0.25">
      <c r="A926" s="2"/>
    </row>
    <row r="927" spans="1:1" x14ac:dyDescent="0.25">
      <c r="A927" s="2"/>
    </row>
    <row r="928" spans="1:1" x14ac:dyDescent="0.25">
      <c r="A928" s="2"/>
    </row>
    <row r="929" spans="1:1" x14ac:dyDescent="0.25">
      <c r="A929" s="2"/>
    </row>
    <row r="930" spans="1:1" x14ac:dyDescent="0.25">
      <c r="A930" s="2"/>
    </row>
    <row r="931" spans="1:1" x14ac:dyDescent="0.25">
      <c r="A931" s="2"/>
    </row>
    <row r="932" spans="1:1" x14ac:dyDescent="0.25">
      <c r="A932" s="2"/>
    </row>
    <row r="933" spans="1:1" x14ac:dyDescent="0.25">
      <c r="A933" s="2"/>
    </row>
    <row r="934" spans="1:1" x14ac:dyDescent="0.25">
      <c r="A934" s="2"/>
    </row>
    <row r="935" spans="1:1" x14ac:dyDescent="0.25">
      <c r="A935" s="2"/>
    </row>
    <row r="936" spans="1:1" x14ac:dyDescent="0.25">
      <c r="A936" s="2"/>
    </row>
    <row r="937" spans="1:1" x14ac:dyDescent="0.25">
      <c r="A937" s="2"/>
    </row>
    <row r="938" spans="1:1" x14ac:dyDescent="0.25">
      <c r="A938" s="2"/>
    </row>
    <row r="939" spans="1:1" x14ac:dyDescent="0.25">
      <c r="A939" s="2"/>
    </row>
    <row r="940" spans="1:1" x14ac:dyDescent="0.25">
      <c r="A940" s="2"/>
    </row>
    <row r="941" spans="1:1" x14ac:dyDescent="0.25">
      <c r="A941" s="2"/>
    </row>
    <row r="942" spans="1:1" x14ac:dyDescent="0.25">
      <c r="A942" s="2"/>
    </row>
    <row r="943" spans="1:1" x14ac:dyDescent="0.25">
      <c r="A943" s="2"/>
    </row>
    <row r="944" spans="1:1" x14ac:dyDescent="0.25">
      <c r="A944" s="2"/>
    </row>
    <row r="945" spans="1:1" x14ac:dyDescent="0.25">
      <c r="A945" s="2"/>
    </row>
    <row r="946" spans="1:1" x14ac:dyDescent="0.25">
      <c r="A946" s="2"/>
    </row>
    <row r="947" spans="1:1" x14ac:dyDescent="0.25">
      <c r="A947" s="2"/>
    </row>
    <row r="948" spans="1:1" x14ac:dyDescent="0.25">
      <c r="A948" s="2"/>
    </row>
    <row r="949" spans="1:1" x14ac:dyDescent="0.25">
      <c r="A949" s="2"/>
    </row>
    <row r="950" spans="1:1" x14ac:dyDescent="0.25">
      <c r="A950" s="2"/>
    </row>
    <row r="951" spans="1:1" x14ac:dyDescent="0.25">
      <c r="A951" s="2"/>
    </row>
    <row r="952" spans="1:1" x14ac:dyDescent="0.25">
      <c r="A952" s="2"/>
    </row>
    <row r="953" spans="1:1" x14ac:dyDescent="0.25">
      <c r="A953" s="2"/>
    </row>
    <row r="954" spans="1:1" x14ac:dyDescent="0.25">
      <c r="A954" s="2"/>
    </row>
    <row r="955" spans="1:1" x14ac:dyDescent="0.25">
      <c r="A955" s="2"/>
    </row>
    <row r="956" spans="1:1" x14ac:dyDescent="0.25">
      <c r="A956" s="2"/>
    </row>
    <row r="957" spans="1:1" x14ac:dyDescent="0.25">
      <c r="A957" s="2"/>
    </row>
    <row r="958" spans="1:1" x14ac:dyDescent="0.25">
      <c r="A958" s="2"/>
    </row>
    <row r="959" spans="1:1" x14ac:dyDescent="0.25">
      <c r="A959" s="2"/>
    </row>
    <row r="960" spans="1:1" x14ac:dyDescent="0.25">
      <c r="A960" s="2"/>
    </row>
    <row r="961" spans="1:1" x14ac:dyDescent="0.25">
      <c r="A961" s="2"/>
    </row>
    <row r="962" spans="1:1" x14ac:dyDescent="0.25">
      <c r="A962" s="2"/>
    </row>
    <row r="963" spans="1:1" x14ac:dyDescent="0.25">
      <c r="A963" s="2"/>
    </row>
    <row r="964" spans="1:1" x14ac:dyDescent="0.25">
      <c r="A964" s="2"/>
    </row>
    <row r="965" spans="1:1" x14ac:dyDescent="0.25">
      <c r="A965" s="2"/>
    </row>
    <row r="966" spans="1:1" x14ac:dyDescent="0.25">
      <c r="A966" s="2"/>
    </row>
    <row r="967" spans="1:1" x14ac:dyDescent="0.25">
      <c r="A967" s="2"/>
    </row>
    <row r="968" spans="1:1" x14ac:dyDescent="0.25">
      <c r="A968" s="2"/>
    </row>
    <row r="969" spans="1:1" x14ac:dyDescent="0.25">
      <c r="A969" s="2"/>
    </row>
    <row r="970" spans="1:1" x14ac:dyDescent="0.25">
      <c r="A970" s="2"/>
    </row>
    <row r="971" spans="1:1" x14ac:dyDescent="0.25">
      <c r="A971" s="2"/>
    </row>
    <row r="972" spans="1:1" x14ac:dyDescent="0.25">
      <c r="A972" s="2"/>
    </row>
    <row r="973" spans="1:1" x14ac:dyDescent="0.25">
      <c r="A973" s="2"/>
    </row>
    <row r="974" spans="1:1" x14ac:dyDescent="0.25">
      <c r="A974" s="2"/>
    </row>
    <row r="975" spans="1:1" x14ac:dyDescent="0.25">
      <c r="A975" s="2"/>
    </row>
    <row r="976" spans="1:1" x14ac:dyDescent="0.25">
      <c r="A976" s="2"/>
    </row>
    <row r="977" spans="1:1" x14ac:dyDescent="0.25">
      <c r="A977" s="2"/>
    </row>
    <row r="978" spans="1:1" x14ac:dyDescent="0.25">
      <c r="A978" s="2"/>
    </row>
    <row r="979" spans="1:1" x14ac:dyDescent="0.25">
      <c r="A979" s="2"/>
    </row>
    <row r="980" spans="1:1" x14ac:dyDescent="0.25">
      <c r="A980" s="2"/>
    </row>
    <row r="981" spans="1:1" x14ac:dyDescent="0.25">
      <c r="A981" s="2"/>
    </row>
    <row r="982" spans="1:1" x14ac:dyDescent="0.25">
      <c r="A982" s="2"/>
    </row>
    <row r="983" spans="1:1" x14ac:dyDescent="0.25">
      <c r="A983" s="2"/>
    </row>
    <row r="984" spans="1:1" x14ac:dyDescent="0.25">
      <c r="A984" s="2"/>
    </row>
    <row r="985" spans="1:1" x14ac:dyDescent="0.25">
      <c r="A985" s="2"/>
    </row>
    <row r="986" spans="1:1" x14ac:dyDescent="0.25">
      <c r="A986" s="2"/>
    </row>
    <row r="987" spans="1:1" x14ac:dyDescent="0.25">
      <c r="A987" s="2"/>
    </row>
    <row r="988" spans="1:1" x14ac:dyDescent="0.25">
      <c r="A988" s="2"/>
    </row>
    <row r="989" spans="1:1" x14ac:dyDescent="0.25">
      <c r="A989" s="2"/>
    </row>
    <row r="990" spans="1:1" x14ac:dyDescent="0.25">
      <c r="A990" s="2"/>
    </row>
    <row r="991" spans="1:1" x14ac:dyDescent="0.25">
      <c r="A991" s="2"/>
    </row>
    <row r="992" spans="1:1" x14ac:dyDescent="0.25">
      <c r="A992" s="2"/>
    </row>
    <row r="993" spans="1:1" x14ac:dyDescent="0.25">
      <c r="A993" s="2"/>
    </row>
    <row r="994" spans="1:1" x14ac:dyDescent="0.25">
      <c r="A994" s="2"/>
    </row>
    <row r="995" spans="1:1" x14ac:dyDescent="0.25">
      <c r="A995" s="2"/>
    </row>
    <row r="996" spans="1:1" x14ac:dyDescent="0.25">
      <c r="A996" s="2"/>
    </row>
    <row r="997" spans="1:1" x14ac:dyDescent="0.25">
      <c r="A997" s="2"/>
    </row>
    <row r="998" spans="1:1" x14ac:dyDescent="0.25">
      <c r="A998" s="2"/>
    </row>
    <row r="999" spans="1:1" x14ac:dyDescent="0.25">
      <c r="A999" s="2"/>
    </row>
    <row r="1000" spans="1:1" x14ac:dyDescent="0.25">
      <c r="A1000" s="2"/>
    </row>
  </sheetData>
  <hyperlinks>
    <hyperlink ref="P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x14ac:dyDescent="0.25"/>
  <cols>
    <col min="2" max="2" width="8.88671875" customWidth="1"/>
  </cols>
  <sheetData>
    <row r="1" spans="1:27" x14ac:dyDescent="0.25">
      <c r="A1" s="2" t="s">
        <v>3</v>
      </c>
      <c r="B1" s="5" t="s">
        <v>19</v>
      </c>
      <c r="C1" s="6" t="s">
        <v>20</v>
      </c>
      <c r="D1" s="6" t="s">
        <v>21</v>
      </c>
      <c r="E1" s="6" t="s">
        <v>22</v>
      </c>
      <c r="F1" s="6" t="s">
        <v>23</v>
      </c>
      <c r="G1" s="7" t="s">
        <v>24</v>
      </c>
      <c r="H1" s="2"/>
      <c r="I1" s="2"/>
      <c r="J1" s="2"/>
      <c r="K1" s="2"/>
      <c r="L1" s="2"/>
      <c r="M1" s="2"/>
      <c r="N1" s="2"/>
      <c r="O1" s="2"/>
      <c r="P1" s="2"/>
      <c r="Q1" s="2"/>
      <c r="R1" s="2"/>
      <c r="S1" s="2"/>
      <c r="T1" s="2"/>
      <c r="U1" s="2"/>
      <c r="V1" s="2"/>
      <c r="W1" s="2"/>
      <c r="X1" s="2"/>
      <c r="Y1" s="2"/>
      <c r="Z1" s="2"/>
      <c r="AA1" s="2"/>
    </row>
    <row r="2" spans="1:27" x14ac:dyDescent="0.25">
      <c r="A2" s="2">
        <v>0</v>
      </c>
      <c r="B2" s="5">
        <v>5</v>
      </c>
      <c r="C2" s="1">
        <v>5</v>
      </c>
      <c r="D2" s="1">
        <v>5</v>
      </c>
      <c r="E2" s="1">
        <v>5</v>
      </c>
      <c r="F2" s="1">
        <v>5</v>
      </c>
      <c r="G2" s="1" t="b">
        <f t="array" ref="G2">AND(ISNUMBER(C2:F2))</f>
        <v>1</v>
      </c>
    </row>
    <row r="3" spans="1:27" x14ac:dyDescent="0.25">
      <c r="A3" s="2">
        <f t="shared" ref="A3:A52" si="0">A2+1</f>
        <v>1</v>
      </c>
      <c r="B3" s="5">
        <v>5</v>
      </c>
      <c r="C3" s="1">
        <f>Retailer!H3</f>
        <v>0</v>
      </c>
      <c r="D3" s="1">
        <f>Wholesaler!H3</f>
        <v>0</v>
      </c>
      <c r="E3" s="1">
        <f>Supplier!H3</f>
        <v>0</v>
      </c>
      <c r="F3" s="1">
        <f>Factory!H3</f>
        <v>0</v>
      </c>
      <c r="G3" s="1" t="b">
        <f t="array" ref="G3">AND(ISNUMBER(C3:F3))</f>
        <v>1</v>
      </c>
    </row>
    <row r="4" spans="1:27" x14ac:dyDescent="0.25">
      <c r="A4" s="2">
        <f t="shared" si="0"/>
        <v>2</v>
      </c>
      <c r="B4" s="5">
        <v>5</v>
      </c>
      <c r="C4" s="1">
        <f>Retailer!H4</f>
        <v>0</v>
      </c>
      <c r="D4" s="1">
        <f>Wholesaler!H4</f>
        <v>0</v>
      </c>
      <c r="E4" s="1">
        <f>Supplier!H4</f>
        <v>0</v>
      </c>
      <c r="F4" s="1">
        <f>Factory!H4</f>
        <v>0</v>
      </c>
      <c r="G4" s="1" t="b">
        <f t="array" ref="G4">AND(ISNUMBER(C4:F4))</f>
        <v>1</v>
      </c>
    </row>
    <row r="5" spans="1:27" x14ac:dyDescent="0.25">
      <c r="A5" s="2">
        <f t="shared" si="0"/>
        <v>3</v>
      </c>
      <c r="B5" s="5">
        <v>5</v>
      </c>
      <c r="C5" s="1">
        <f>Retailer!H5</f>
        <v>0</v>
      </c>
      <c r="D5" s="1">
        <f>Wholesaler!H5</f>
        <v>0</v>
      </c>
      <c r="E5" s="1">
        <f>Supplier!H5</f>
        <v>0</v>
      </c>
      <c r="F5" s="1">
        <f>Factory!H5</f>
        <v>0</v>
      </c>
      <c r="G5" s="1" t="b">
        <f t="array" ref="G5">AND(ISNUMBER(C5:F5))</f>
        <v>1</v>
      </c>
    </row>
    <row r="6" spans="1:27" x14ac:dyDescent="0.25">
      <c r="A6" s="2">
        <f t="shared" si="0"/>
        <v>4</v>
      </c>
      <c r="B6" s="5">
        <v>5</v>
      </c>
      <c r="C6" s="1">
        <f>Retailer!H6</f>
        <v>0</v>
      </c>
      <c r="D6" s="1">
        <f>Wholesaler!H6</f>
        <v>0</v>
      </c>
      <c r="E6" s="1">
        <f>Supplier!H6</f>
        <v>0</v>
      </c>
      <c r="F6" s="1">
        <f>Factory!H6</f>
        <v>0</v>
      </c>
      <c r="G6" s="1" t="b">
        <f t="array" ref="G6">AND(ISNUMBER(C6:F6))</f>
        <v>1</v>
      </c>
    </row>
    <row r="7" spans="1:27" x14ac:dyDescent="0.25">
      <c r="A7" s="2">
        <f t="shared" si="0"/>
        <v>5</v>
      </c>
      <c r="B7" s="5">
        <v>5</v>
      </c>
      <c r="C7" s="1">
        <f>Retailer!H7</f>
        <v>0</v>
      </c>
      <c r="D7" s="1">
        <f>Wholesaler!H7</f>
        <v>0</v>
      </c>
      <c r="E7" s="1">
        <f>Supplier!H7</f>
        <v>0</v>
      </c>
      <c r="F7" s="1">
        <f>Factory!H7</f>
        <v>0</v>
      </c>
      <c r="G7" s="1" t="b">
        <f t="array" ref="G7">AND(ISNUMBER(C7:F7))</f>
        <v>1</v>
      </c>
    </row>
    <row r="8" spans="1:27" x14ac:dyDescent="0.25">
      <c r="A8" s="2">
        <f t="shared" si="0"/>
        <v>6</v>
      </c>
      <c r="B8" s="5">
        <v>5</v>
      </c>
      <c r="C8" s="1">
        <f>Retailer!H8</f>
        <v>0</v>
      </c>
      <c r="D8" s="1">
        <f>Wholesaler!H8</f>
        <v>0</v>
      </c>
      <c r="E8" s="1">
        <f>Supplier!H8</f>
        <v>0</v>
      </c>
      <c r="F8" s="1">
        <f>Factory!H8</f>
        <v>0</v>
      </c>
      <c r="G8" s="1" t="b">
        <f t="array" ref="G8">AND(ISNUMBER(C8:F8))</f>
        <v>1</v>
      </c>
    </row>
    <row r="9" spans="1:27" x14ac:dyDescent="0.25">
      <c r="A9" s="2">
        <f t="shared" si="0"/>
        <v>7</v>
      </c>
      <c r="B9" s="5">
        <v>5</v>
      </c>
      <c r="C9" s="1">
        <f>Retailer!H9</f>
        <v>0</v>
      </c>
      <c r="D9" s="1">
        <f>Wholesaler!H9</f>
        <v>0</v>
      </c>
      <c r="E9" s="1">
        <f>Supplier!H9</f>
        <v>0</v>
      </c>
      <c r="F9" s="1">
        <f>Factory!H9</f>
        <v>0</v>
      </c>
      <c r="G9" s="1" t="b">
        <f t="array" ref="G9">AND(ISNUMBER(C9:F9))</f>
        <v>1</v>
      </c>
    </row>
    <row r="10" spans="1:27" x14ac:dyDescent="0.25">
      <c r="A10" s="2">
        <f t="shared" si="0"/>
        <v>8</v>
      </c>
      <c r="B10" s="5">
        <v>5</v>
      </c>
      <c r="C10" s="1">
        <f>Retailer!H10</f>
        <v>0</v>
      </c>
      <c r="D10" s="1">
        <f>Wholesaler!H10</f>
        <v>0</v>
      </c>
      <c r="E10" s="1">
        <f>Supplier!H10</f>
        <v>0</v>
      </c>
      <c r="F10" s="1">
        <f>Factory!H10</f>
        <v>0</v>
      </c>
      <c r="G10" s="1" t="b">
        <f t="array" ref="G10">AND(ISNUMBER(C10:F10))</f>
        <v>1</v>
      </c>
    </row>
    <row r="11" spans="1:27" x14ac:dyDescent="0.25">
      <c r="A11" s="2">
        <f t="shared" si="0"/>
        <v>9</v>
      </c>
      <c r="B11" s="5">
        <v>5</v>
      </c>
      <c r="C11" s="1">
        <f>Retailer!H11</f>
        <v>0</v>
      </c>
      <c r="D11" s="1">
        <f>Wholesaler!H11</f>
        <v>0</v>
      </c>
      <c r="E11" s="1">
        <f>Supplier!H11</f>
        <v>0</v>
      </c>
      <c r="F11" s="1">
        <f>Factory!H11</f>
        <v>0</v>
      </c>
      <c r="G11" s="1" t="b">
        <f t="array" ref="G11">AND(ISNUMBER(C11:F11))</f>
        <v>1</v>
      </c>
    </row>
    <row r="12" spans="1:27" x14ac:dyDescent="0.25">
      <c r="A12" s="2">
        <f t="shared" si="0"/>
        <v>10</v>
      </c>
      <c r="B12" s="8">
        <f t="shared" ref="B12:B13" ca="1" si="1">MOD(TODAY()+A12, 5)+8</f>
        <v>12</v>
      </c>
      <c r="C12" s="1">
        <f>Retailer!H12</f>
        <v>0</v>
      </c>
      <c r="D12" s="1">
        <f>Wholesaler!H12</f>
        <v>0</v>
      </c>
      <c r="E12" s="1">
        <f>Supplier!H12</f>
        <v>0</v>
      </c>
      <c r="F12" s="1">
        <f>Factory!H12</f>
        <v>0</v>
      </c>
      <c r="G12" s="1" t="b">
        <f t="array" ref="G12">AND(ISNUMBER(C12:F12))</f>
        <v>1</v>
      </c>
    </row>
    <row r="13" spans="1:27" x14ac:dyDescent="0.25">
      <c r="A13" s="2">
        <f t="shared" si="0"/>
        <v>11</v>
      </c>
      <c r="B13" s="8">
        <f t="shared" ca="1" si="1"/>
        <v>8</v>
      </c>
      <c r="C13" s="1">
        <f>Retailer!H13</f>
        <v>0</v>
      </c>
      <c r="D13" s="1">
        <f>Wholesaler!H13</f>
        <v>0</v>
      </c>
      <c r="E13" s="1">
        <f>Supplier!H13</f>
        <v>0</v>
      </c>
      <c r="F13" s="1">
        <f>Factory!H13</f>
        <v>0</v>
      </c>
      <c r="G13" s="1" t="b">
        <f t="array" ref="G13">AND(ISNUMBER(C13:F13))</f>
        <v>1</v>
      </c>
    </row>
    <row r="14" spans="1:27" x14ac:dyDescent="0.25">
      <c r="A14" s="2">
        <f t="shared" si="0"/>
        <v>12</v>
      </c>
      <c r="B14" s="8">
        <f t="shared" ref="B14:B52" ca="1" si="2">MOD(TODAY(), 5)+8</f>
        <v>12</v>
      </c>
      <c r="C14" s="1">
        <f>Retailer!H14</f>
        <v>0</v>
      </c>
      <c r="D14" s="1">
        <f>Wholesaler!H14</f>
        <v>0</v>
      </c>
      <c r="E14" s="1">
        <f>Supplier!H14</f>
        <v>0</v>
      </c>
      <c r="F14" s="1">
        <f>Factory!H14</f>
        <v>0</v>
      </c>
      <c r="G14" s="1" t="b">
        <f t="array" ref="G14">AND(ISNUMBER(C14:F14))</f>
        <v>1</v>
      </c>
    </row>
    <row r="15" spans="1:27" x14ac:dyDescent="0.25">
      <c r="A15" s="2">
        <f t="shared" si="0"/>
        <v>13</v>
      </c>
      <c r="B15" s="8">
        <f t="shared" ca="1" si="2"/>
        <v>12</v>
      </c>
      <c r="C15" s="1">
        <f>Retailer!H15</f>
        <v>0</v>
      </c>
      <c r="D15" s="1">
        <f>Wholesaler!H15</f>
        <v>0</v>
      </c>
      <c r="E15" s="1">
        <f>Supplier!H15</f>
        <v>0</v>
      </c>
      <c r="F15" s="1">
        <f>Factory!H15</f>
        <v>0</v>
      </c>
      <c r="G15" s="1" t="b">
        <f t="array" ref="G15">AND(ISNUMBER(C15:F15))</f>
        <v>1</v>
      </c>
    </row>
    <row r="16" spans="1:27" x14ac:dyDescent="0.25">
      <c r="A16" s="2">
        <f t="shared" si="0"/>
        <v>14</v>
      </c>
      <c r="B16" s="8">
        <f t="shared" ca="1" si="2"/>
        <v>12</v>
      </c>
      <c r="C16" s="1">
        <f>Retailer!H16</f>
        <v>0</v>
      </c>
      <c r="D16" s="1">
        <f>Wholesaler!H16</f>
        <v>0</v>
      </c>
      <c r="E16" s="1">
        <f>Supplier!H16</f>
        <v>0</v>
      </c>
      <c r="F16" s="1">
        <f>Factory!H16</f>
        <v>0</v>
      </c>
      <c r="G16" s="1" t="b">
        <f t="array" ref="G16">AND(ISNUMBER(C16:F16))</f>
        <v>1</v>
      </c>
    </row>
    <row r="17" spans="1:7" x14ac:dyDescent="0.25">
      <c r="A17" s="2">
        <f t="shared" si="0"/>
        <v>15</v>
      </c>
      <c r="B17" s="8">
        <f t="shared" ca="1" si="2"/>
        <v>12</v>
      </c>
      <c r="C17" s="1">
        <f>Retailer!H17</f>
        <v>0</v>
      </c>
      <c r="D17" s="1">
        <f>Wholesaler!H17</f>
        <v>0</v>
      </c>
      <c r="E17" s="1">
        <f>Supplier!H17</f>
        <v>0</v>
      </c>
      <c r="F17" s="1">
        <f>Factory!H17</f>
        <v>0</v>
      </c>
      <c r="G17" s="1" t="b">
        <f t="array" ref="G17">AND(ISNUMBER(C17:F17))</f>
        <v>1</v>
      </c>
    </row>
    <row r="18" spans="1:7" x14ac:dyDescent="0.25">
      <c r="A18" s="2">
        <f t="shared" si="0"/>
        <v>16</v>
      </c>
      <c r="B18" s="8">
        <f t="shared" ca="1" si="2"/>
        <v>12</v>
      </c>
      <c r="C18" s="1">
        <f>Retailer!H18</f>
        <v>0</v>
      </c>
      <c r="D18" s="1">
        <f>Wholesaler!H18</f>
        <v>0</v>
      </c>
      <c r="E18" s="1">
        <f>Supplier!H18</f>
        <v>0</v>
      </c>
      <c r="F18" s="1">
        <f>Factory!H18</f>
        <v>0</v>
      </c>
      <c r="G18" s="1" t="b">
        <f t="array" ref="G18">AND(ISNUMBER(C18:F18))</f>
        <v>1</v>
      </c>
    </row>
    <row r="19" spans="1:7" x14ac:dyDescent="0.25">
      <c r="A19" s="2">
        <f t="shared" si="0"/>
        <v>17</v>
      </c>
      <c r="B19" s="8">
        <f t="shared" ca="1" si="2"/>
        <v>12</v>
      </c>
      <c r="C19" s="1">
        <f>Retailer!H19</f>
        <v>0</v>
      </c>
      <c r="D19" s="1">
        <f>Wholesaler!H19</f>
        <v>0</v>
      </c>
      <c r="E19" s="1">
        <f>Supplier!H19</f>
        <v>0</v>
      </c>
      <c r="F19" s="1">
        <f>Factory!H19</f>
        <v>0</v>
      </c>
      <c r="G19" s="1" t="b">
        <f t="array" ref="G19">AND(ISNUMBER(C19:F19))</f>
        <v>1</v>
      </c>
    </row>
    <row r="20" spans="1:7" x14ac:dyDescent="0.25">
      <c r="A20" s="2">
        <f t="shared" si="0"/>
        <v>18</v>
      </c>
      <c r="B20" s="8">
        <f t="shared" ca="1" si="2"/>
        <v>12</v>
      </c>
      <c r="C20" s="1">
        <f>Retailer!H20</f>
        <v>0</v>
      </c>
      <c r="D20" s="1">
        <f>Wholesaler!H20</f>
        <v>0</v>
      </c>
      <c r="E20" s="1">
        <f>Supplier!H20</f>
        <v>0</v>
      </c>
      <c r="F20" s="1">
        <f>Factory!H20</f>
        <v>0</v>
      </c>
      <c r="G20" s="1" t="b">
        <f t="array" ref="G20">AND(ISNUMBER(C20:F20))</f>
        <v>1</v>
      </c>
    </row>
    <row r="21" spans="1:7" x14ac:dyDescent="0.25">
      <c r="A21" s="2">
        <f t="shared" si="0"/>
        <v>19</v>
      </c>
      <c r="B21" s="8">
        <f t="shared" ca="1" si="2"/>
        <v>12</v>
      </c>
      <c r="C21" s="1">
        <f>Retailer!H21</f>
        <v>0</v>
      </c>
      <c r="D21" s="1">
        <f>Wholesaler!H21</f>
        <v>0</v>
      </c>
      <c r="E21" s="1">
        <f>Supplier!H21</f>
        <v>0</v>
      </c>
      <c r="F21" s="1">
        <f>Factory!H21</f>
        <v>0</v>
      </c>
      <c r="G21" s="1" t="b">
        <f t="array" ref="G21">AND(ISNUMBER(C21:F21))</f>
        <v>1</v>
      </c>
    </row>
    <row r="22" spans="1:7" x14ac:dyDescent="0.25">
      <c r="A22" s="2">
        <f t="shared" si="0"/>
        <v>20</v>
      </c>
      <c r="B22" s="8">
        <f t="shared" ca="1" si="2"/>
        <v>12</v>
      </c>
      <c r="C22" s="1">
        <f>Retailer!H22</f>
        <v>0</v>
      </c>
      <c r="D22" s="1">
        <f>Wholesaler!H22</f>
        <v>0</v>
      </c>
      <c r="E22" s="1">
        <f>Supplier!H22</f>
        <v>0</v>
      </c>
      <c r="F22" s="1">
        <f>Factory!H22</f>
        <v>0</v>
      </c>
      <c r="G22" s="1" t="b">
        <f t="array" ref="G22">AND(ISNUMBER(C22:F22))</f>
        <v>1</v>
      </c>
    </row>
    <row r="23" spans="1:7" x14ac:dyDescent="0.25">
      <c r="A23" s="2">
        <f t="shared" si="0"/>
        <v>21</v>
      </c>
      <c r="B23" s="8">
        <f t="shared" ca="1" si="2"/>
        <v>12</v>
      </c>
      <c r="C23" s="1">
        <f>Retailer!H23</f>
        <v>0</v>
      </c>
      <c r="D23" s="1">
        <f>Wholesaler!H23</f>
        <v>0</v>
      </c>
      <c r="E23" s="1">
        <f>Supplier!H23</f>
        <v>0</v>
      </c>
      <c r="F23" s="1">
        <f>Factory!H23</f>
        <v>0</v>
      </c>
      <c r="G23" s="1" t="b">
        <f t="array" ref="G23">AND(ISNUMBER(C23:F23))</f>
        <v>1</v>
      </c>
    </row>
    <row r="24" spans="1:7" x14ac:dyDescent="0.25">
      <c r="A24" s="2">
        <f t="shared" si="0"/>
        <v>22</v>
      </c>
      <c r="B24" s="8">
        <f t="shared" ca="1" si="2"/>
        <v>12</v>
      </c>
      <c r="C24" s="1">
        <f>Retailer!H24</f>
        <v>0</v>
      </c>
      <c r="D24" s="1">
        <f>Wholesaler!H24</f>
        <v>0</v>
      </c>
      <c r="E24" s="1">
        <f>Supplier!H24</f>
        <v>0</v>
      </c>
      <c r="F24" s="1">
        <f>Factory!H24</f>
        <v>0</v>
      </c>
      <c r="G24" s="1" t="b">
        <f t="array" ref="G24">AND(ISNUMBER(C24:F24))</f>
        <v>1</v>
      </c>
    </row>
    <row r="25" spans="1:7" x14ac:dyDescent="0.25">
      <c r="A25" s="2">
        <f t="shared" si="0"/>
        <v>23</v>
      </c>
      <c r="B25" s="8">
        <f t="shared" ca="1" si="2"/>
        <v>12</v>
      </c>
      <c r="C25" s="1">
        <f>Retailer!H25</f>
        <v>0</v>
      </c>
      <c r="D25" s="1">
        <f>Wholesaler!H25</f>
        <v>0</v>
      </c>
      <c r="E25" s="1">
        <f>Supplier!H25</f>
        <v>0</v>
      </c>
      <c r="F25" s="1">
        <f>Factory!H25</f>
        <v>0</v>
      </c>
      <c r="G25" s="1" t="b">
        <f t="array" ref="G25">AND(ISNUMBER(C25:F25))</f>
        <v>1</v>
      </c>
    </row>
    <row r="26" spans="1:7" x14ac:dyDescent="0.25">
      <c r="A26" s="2">
        <f t="shared" si="0"/>
        <v>24</v>
      </c>
      <c r="B26" s="8">
        <f t="shared" ca="1" si="2"/>
        <v>12</v>
      </c>
      <c r="C26" s="1">
        <f>Retailer!H26</f>
        <v>0</v>
      </c>
      <c r="D26" s="1">
        <f>Wholesaler!H26</f>
        <v>0</v>
      </c>
      <c r="E26" s="1">
        <f>Supplier!H26</f>
        <v>0</v>
      </c>
      <c r="F26" s="1">
        <f>Factory!H26</f>
        <v>0</v>
      </c>
      <c r="G26" s="1" t="b">
        <f t="array" ref="G26">AND(ISNUMBER(C26:F26))</f>
        <v>1</v>
      </c>
    </row>
    <row r="27" spans="1:7" x14ac:dyDescent="0.25">
      <c r="A27" s="2">
        <f t="shared" si="0"/>
        <v>25</v>
      </c>
      <c r="B27" s="8">
        <f t="shared" ca="1" si="2"/>
        <v>12</v>
      </c>
      <c r="C27" s="1">
        <f>Retailer!H27</f>
        <v>0</v>
      </c>
      <c r="D27" s="1">
        <f>Wholesaler!H27</f>
        <v>0</v>
      </c>
      <c r="E27" s="1">
        <f>Supplier!H27</f>
        <v>0</v>
      </c>
      <c r="F27" s="1">
        <f>Factory!H27</f>
        <v>0</v>
      </c>
      <c r="G27" s="1" t="b">
        <f t="array" ref="G27">AND(ISNUMBER(C27:F27))</f>
        <v>1</v>
      </c>
    </row>
    <row r="28" spans="1:7" x14ac:dyDescent="0.25">
      <c r="A28" s="2">
        <f t="shared" si="0"/>
        <v>26</v>
      </c>
      <c r="B28" s="8">
        <f t="shared" ca="1" si="2"/>
        <v>12</v>
      </c>
      <c r="C28" s="1">
        <f>Retailer!H28</f>
        <v>0</v>
      </c>
      <c r="D28" s="1">
        <f>Wholesaler!H28</f>
        <v>0</v>
      </c>
      <c r="E28" s="1">
        <f>Supplier!H28</f>
        <v>0</v>
      </c>
      <c r="F28" s="1">
        <f>Factory!H28</f>
        <v>0</v>
      </c>
      <c r="G28" s="1" t="b">
        <f t="array" ref="G28">AND(ISNUMBER(C28:F28))</f>
        <v>1</v>
      </c>
    </row>
    <row r="29" spans="1:7" x14ac:dyDescent="0.25">
      <c r="A29" s="2">
        <f t="shared" si="0"/>
        <v>27</v>
      </c>
      <c r="B29" s="8">
        <f t="shared" ca="1" si="2"/>
        <v>12</v>
      </c>
      <c r="C29" s="1">
        <f>Retailer!H29</f>
        <v>0</v>
      </c>
      <c r="D29" s="1">
        <f>Wholesaler!H29</f>
        <v>0</v>
      </c>
      <c r="E29" s="1">
        <f>Supplier!H29</f>
        <v>0</v>
      </c>
      <c r="F29" s="1">
        <f>Factory!H29</f>
        <v>0</v>
      </c>
      <c r="G29" s="1" t="b">
        <f t="array" ref="G29">AND(ISNUMBER(C29:F29))</f>
        <v>1</v>
      </c>
    </row>
    <row r="30" spans="1:7" x14ac:dyDescent="0.25">
      <c r="A30" s="2">
        <f t="shared" si="0"/>
        <v>28</v>
      </c>
      <c r="B30" s="8">
        <f t="shared" ca="1" si="2"/>
        <v>12</v>
      </c>
      <c r="C30" s="1">
        <f>Retailer!H30</f>
        <v>0</v>
      </c>
      <c r="D30" s="1">
        <f>Wholesaler!H30</f>
        <v>0</v>
      </c>
      <c r="E30" s="1">
        <f>Supplier!H30</f>
        <v>0</v>
      </c>
      <c r="F30" s="1">
        <f>Factory!H30</f>
        <v>0</v>
      </c>
      <c r="G30" s="1" t="b">
        <f t="array" ref="G30">AND(ISNUMBER(C30:F30))</f>
        <v>1</v>
      </c>
    </row>
    <row r="31" spans="1:7" x14ac:dyDescent="0.25">
      <c r="A31" s="2">
        <f t="shared" si="0"/>
        <v>29</v>
      </c>
      <c r="B31" s="8">
        <f t="shared" ca="1" si="2"/>
        <v>12</v>
      </c>
      <c r="C31" s="1">
        <f>Retailer!H31</f>
        <v>0</v>
      </c>
      <c r="D31" s="1">
        <f>Wholesaler!H31</f>
        <v>0</v>
      </c>
      <c r="E31" s="1">
        <f>Supplier!H31</f>
        <v>0</v>
      </c>
      <c r="F31" s="1">
        <f>Factory!H31</f>
        <v>0</v>
      </c>
      <c r="G31" s="1" t="b">
        <f t="array" ref="G31">AND(ISNUMBER(C31:F31))</f>
        <v>1</v>
      </c>
    </row>
    <row r="32" spans="1:7" x14ac:dyDescent="0.25">
      <c r="A32" s="2">
        <f t="shared" si="0"/>
        <v>30</v>
      </c>
      <c r="B32" s="8">
        <f t="shared" ca="1" si="2"/>
        <v>12</v>
      </c>
      <c r="C32" s="1">
        <f>Retailer!H32</f>
        <v>0</v>
      </c>
      <c r="D32" s="1">
        <f>Wholesaler!H32</f>
        <v>0</v>
      </c>
      <c r="E32" s="1">
        <f>Supplier!H32</f>
        <v>0</v>
      </c>
      <c r="F32" s="1">
        <f>Factory!H32</f>
        <v>0</v>
      </c>
      <c r="G32" s="1" t="b">
        <f t="array" ref="G32">AND(ISNUMBER(C32:F32))</f>
        <v>1</v>
      </c>
    </row>
    <row r="33" spans="1:7" x14ac:dyDescent="0.25">
      <c r="A33" s="2">
        <f t="shared" si="0"/>
        <v>31</v>
      </c>
      <c r="B33" s="8">
        <f t="shared" ca="1" si="2"/>
        <v>12</v>
      </c>
      <c r="C33" s="1">
        <f>Retailer!H33</f>
        <v>0</v>
      </c>
      <c r="D33" s="1">
        <f>Wholesaler!H33</f>
        <v>0</v>
      </c>
      <c r="E33" s="1">
        <f>Supplier!H33</f>
        <v>0</v>
      </c>
      <c r="F33" s="1">
        <f>Factory!H33</f>
        <v>0</v>
      </c>
      <c r="G33" s="1" t="b">
        <f t="array" ref="G33">AND(ISNUMBER(C33:F33))</f>
        <v>1</v>
      </c>
    </row>
    <row r="34" spans="1:7" x14ac:dyDescent="0.25">
      <c r="A34" s="2">
        <f t="shared" si="0"/>
        <v>32</v>
      </c>
      <c r="B34" s="8">
        <f t="shared" ca="1" si="2"/>
        <v>12</v>
      </c>
      <c r="C34" s="1">
        <f>Retailer!H34</f>
        <v>0</v>
      </c>
      <c r="D34" s="1">
        <f>Wholesaler!H34</f>
        <v>0</v>
      </c>
      <c r="E34" s="1">
        <f>Supplier!H34</f>
        <v>0</v>
      </c>
      <c r="F34" s="1">
        <f>Factory!H34</f>
        <v>0</v>
      </c>
      <c r="G34" s="1" t="b">
        <f t="array" ref="G34">AND(ISNUMBER(C34:F34))</f>
        <v>1</v>
      </c>
    </row>
    <row r="35" spans="1:7" x14ac:dyDescent="0.25">
      <c r="A35" s="2">
        <f t="shared" si="0"/>
        <v>33</v>
      </c>
      <c r="B35" s="8">
        <f t="shared" ca="1" si="2"/>
        <v>12</v>
      </c>
      <c r="C35" s="1">
        <f>Retailer!H35</f>
        <v>0</v>
      </c>
      <c r="D35" s="1">
        <f>Wholesaler!H35</f>
        <v>0</v>
      </c>
      <c r="E35" s="1">
        <f>Supplier!H35</f>
        <v>0</v>
      </c>
      <c r="F35" s="1">
        <f>Factory!H35</f>
        <v>0</v>
      </c>
      <c r="G35" s="1" t="b">
        <f t="array" ref="G35">AND(ISNUMBER(C35:F35))</f>
        <v>1</v>
      </c>
    </row>
    <row r="36" spans="1:7" x14ac:dyDescent="0.25">
      <c r="A36" s="2">
        <f t="shared" si="0"/>
        <v>34</v>
      </c>
      <c r="B36" s="8">
        <f t="shared" ca="1" si="2"/>
        <v>12</v>
      </c>
      <c r="C36" s="1">
        <f>Retailer!H36</f>
        <v>0</v>
      </c>
      <c r="D36" s="1">
        <f>Wholesaler!H36</f>
        <v>0</v>
      </c>
      <c r="E36" s="1">
        <f>Supplier!H36</f>
        <v>0</v>
      </c>
      <c r="F36" s="1">
        <f>Factory!H36</f>
        <v>0</v>
      </c>
      <c r="G36" s="1" t="b">
        <f t="array" ref="G36">AND(ISNUMBER(C36:F36))</f>
        <v>1</v>
      </c>
    </row>
    <row r="37" spans="1:7" x14ac:dyDescent="0.25">
      <c r="A37" s="2">
        <f t="shared" si="0"/>
        <v>35</v>
      </c>
      <c r="B37" s="8">
        <f t="shared" ca="1" si="2"/>
        <v>12</v>
      </c>
      <c r="C37" s="1">
        <f>Retailer!H37</f>
        <v>0</v>
      </c>
      <c r="D37" s="1">
        <f>Wholesaler!H37</f>
        <v>0</v>
      </c>
      <c r="E37" s="1">
        <f>Supplier!H37</f>
        <v>0</v>
      </c>
      <c r="F37" s="1">
        <f>Factory!H37</f>
        <v>0</v>
      </c>
      <c r="G37" s="1" t="b">
        <f t="array" ref="G37">AND(ISNUMBER(C37:F37))</f>
        <v>1</v>
      </c>
    </row>
    <row r="38" spans="1:7" x14ac:dyDescent="0.25">
      <c r="A38" s="2">
        <f t="shared" si="0"/>
        <v>36</v>
      </c>
      <c r="B38" s="8">
        <f t="shared" ca="1" si="2"/>
        <v>12</v>
      </c>
      <c r="C38" s="1">
        <f>Retailer!H38</f>
        <v>0</v>
      </c>
      <c r="D38" s="1">
        <f>Wholesaler!H38</f>
        <v>0</v>
      </c>
      <c r="E38" s="1">
        <f>Supplier!H38</f>
        <v>0</v>
      </c>
      <c r="F38" s="1">
        <f>Factory!H38</f>
        <v>0</v>
      </c>
      <c r="G38" s="1" t="b">
        <f t="array" ref="G38">AND(ISNUMBER(C38:F38))</f>
        <v>1</v>
      </c>
    </row>
    <row r="39" spans="1:7" x14ac:dyDescent="0.25">
      <c r="A39" s="2">
        <f t="shared" si="0"/>
        <v>37</v>
      </c>
      <c r="B39" s="8">
        <f t="shared" ca="1" si="2"/>
        <v>12</v>
      </c>
      <c r="C39" s="1">
        <f>Retailer!H39</f>
        <v>0</v>
      </c>
      <c r="D39" s="1">
        <f>Wholesaler!H39</f>
        <v>0</v>
      </c>
      <c r="E39" s="1">
        <f>Supplier!H39</f>
        <v>0</v>
      </c>
      <c r="F39" s="1">
        <f>Factory!H39</f>
        <v>0</v>
      </c>
      <c r="G39" s="1" t="b">
        <f t="array" ref="G39">AND(ISNUMBER(C39:F39))</f>
        <v>1</v>
      </c>
    </row>
    <row r="40" spans="1:7" x14ac:dyDescent="0.25">
      <c r="A40" s="2">
        <f t="shared" si="0"/>
        <v>38</v>
      </c>
      <c r="B40" s="8">
        <f t="shared" ca="1" si="2"/>
        <v>12</v>
      </c>
      <c r="C40" s="1">
        <f>Retailer!H40</f>
        <v>0</v>
      </c>
      <c r="D40" s="1">
        <f>Wholesaler!H40</f>
        <v>0</v>
      </c>
      <c r="E40" s="1">
        <f>Supplier!H40</f>
        <v>0</v>
      </c>
      <c r="F40" s="1">
        <f>Factory!H40</f>
        <v>0</v>
      </c>
      <c r="G40" s="1" t="b">
        <f t="array" ref="G40">AND(ISNUMBER(C40:F40))</f>
        <v>1</v>
      </c>
    </row>
    <row r="41" spans="1:7" x14ac:dyDescent="0.25">
      <c r="A41" s="2">
        <f t="shared" si="0"/>
        <v>39</v>
      </c>
      <c r="B41" s="8">
        <f t="shared" ca="1" si="2"/>
        <v>12</v>
      </c>
      <c r="C41" s="1">
        <f>Retailer!H41</f>
        <v>0</v>
      </c>
      <c r="D41" s="1">
        <f>Wholesaler!H41</f>
        <v>0</v>
      </c>
      <c r="E41" s="1">
        <f>Supplier!H41</f>
        <v>0</v>
      </c>
      <c r="F41" s="1">
        <f>Factory!H41</f>
        <v>0</v>
      </c>
      <c r="G41" s="1" t="b">
        <f t="array" ref="G41">AND(ISNUMBER(C41:F41))</f>
        <v>1</v>
      </c>
    </row>
    <row r="42" spans="1:7" x14ac:dyDescent="0.25">
      <c r="A42" s="2">
        <f t="shared" si="0"/>
        <v>40</v>
      </c>
      <c r="B42" s="8">
        <f t="shared" ca="1" si="2"/>
        <v>12</v>
      </c>
      <c r="C42" s="1">
        <f>Retailer!H42</f>
        <v>0</v>
      </c>
      <c r="D42" s="1">
        <f>Wholesaler!H42</f>
        <v>0</v>
      </c>
      <c r="E42" s="1">
        <f>Supplier!H42</f>
        <v>0</v>
      </c>
      <c r="F42" s="1">
        <f>Factory!H42</f>
        <v>0</v>
      </c>
      <c r="G42" s="1" t="b">
        <f t="array" ref="G42">AND(ISNUMBER(C42:F42))</f>
        <v>1</v>
      </c>
    </row>
    <row r="43" spans="1:7" x14ac:dyDescent="0.25">
      <c r="A43" s="2">
        <f t="shared" si="0"/>
        <v>41</v>
      </c>
      <c r="B43" s="8">
        <f t="shared" ca="1" si="2"/>
        <v>12</v>
      </c>
      <c r="C43" s="1">
        <f>Retailer!H43</f>
        <v>0</v>
      </c>
      <c r="D43" s="1">
        <f>Wholesaler!H43</f>
        <v>0</v>
      </c>
      <c r="E43" s="1">
        <f>Supplier!H43</f>
        <v>0</v>
      </c>
      <c r="F43" s="1">
        <f>Factory!H43</f>
        <v>0</v>
      </c>
      <c r="G43" s="1" t="b">
        <f t="array" ref="G43">AND(ISNUMBER(C43:F43))</f>
        <v>1</v>
      </c>
    </row>
    <row r="44" spans="1:7" x14ac:dyDescent="0.25">
      <c r="A44" s="2">
        <f t="shared" si="0"/>
        <v>42</v>
      </c>
      <c r="B44" s="8">
        <f t="shared" ca="1" si="2"/>
        <v>12</v>
      </c>
      <c r="C44" s="1">
        <f>Retailer!H44</f>
        <v>0</v>
      </c>
      <c r="D44" s="1">
        <f>Wholesaler!H44</f>
        <v>0</v>
      </c>
      <c r="E44" s="1">
        <f>Supplier!H44</f>
        <v>0</v>
      </c>
      <c r="F44" s="1">
        <f>Factory!H44</f>
        <v>0</v>
      </c>
      <c r="G44" s="1" t="b">
        <f t="array" ref="G44">AND(ISNUMBER(C44:F44))</f>
        <v>1</v>
      </c>
    </row>
    <row r="45" spans="1:7" x14ac:dyDescent="0.25">
      <c r="A45" s="2">
        <f t="shared" si="0"/>
        <v>43</v>
      </c>
      <c r="B45" s="8">
        <f t="shared" ca="1" si="2"/>
        <v>12</v>
      </c>
      <c r="C45" s="1">
        <f>Retailer!H45</f>
        <v>0</v>
      </c>
      <c r="D45" s="1">
        <f>Wholesaler!H45</f>
        <v>0</v>
      </c>
      <c r="E45" s="1">
        <f>Supplier!H45</f>
        <v>0</v>
      </c>
      <c r="F45" s="1">
        <f>Factory!H45</f>
        <v>0</v>
      </c>
      <c r="G45" s="1" t="b">
        <f t="array" ref="G45">AND(ISNUMBER(C45:F45))</f>
        <v>1</v>
      </c>
    </row>
    <row r="46" spans="1:7" x14ac:dyDescent="0.25">
      <c r="A46" s="2">
        <f t="shared" si="0"/>
        <v>44</v>
      </c>
      <c r="B46" s="8">
        <f t="shared" ca="1" si="2"/>
        <v>12</v>
      </c>
      <c r="C46" s="1">
        <f>Retailer!H46</f>
        <v>0</v>
      </c>
      <c r="D46" s="1">
        <f>Wholesaler!H46</f>
        <v>0</v>
      </c>
      <c r="E46" s="1">
        <f>Supplier!H46</f>
        <v>0</v>
      </c>
      <c r="F46" s="1">
        <f>Factory!H46</f>
        <v>0</v>
      </c>
      <c r="G46" s="1" t="b">
        <f t="array" ref="G46">AND(ISNUMBER(C46:F46))</f>
        <v>1</v>
      </c>
    </row>
    <row r="47" spans="1:7" x14ac:dyDescent="0.25">
      <c r="A47" s="2">
        <f t="shared" si="0"/>
        <v>45</v>
      </c>
      <c r="B47" s="8">
        <f t="shared" ca="1" si="2"/>
        <v>12</v>
      </c>
      <c r="C47" s="1">
        <f>Retailer!H47</f>
        <v>0</v>
      </c>
      <c r="D47" s="1">
        <f>Wholesaler!H47</f>
        <v>0</v>
      </c>
      <c r="E47" s="1">
        <f>Supplier!H47</f>
        <v>0</v>
      </c>
      <c r="F47" s="1">
        <f>Factory!H47</f>
        <v>0</v>
      </c>
      <c r="G47" s="1" t="b">
        <f t="array" ref="G47">AND(ISNUMBER(C47:F47))</f>
        <v>1</v>
      </c>
    </row>
    <row r="48" spans="1:7" x14ac:dyDescent="0.25">
      <c r="A48" s="2">
        <f t="shared" si="0"/>
        <v>46</v>
      </c>
      <c r="B48" s="8">
        <f t="shared" ca="1" si="2"/>
        <v>12</v>
      </c>
      <c r="C48" s="1">
        <f>Retailer!H48</f>
        <v>0</v>
      </c>
      <c r="D48" s="1">
        <f>Wholesaler!H48</f>
        <v>0</v>
      </c>
      <c r="E48" s="1">
        <f>Supplier!H48</f>
        <v>0</v>
      </c>
      <c r="F48" s="1">
        <f>Factory!H48</f>
        <v>0</v>
      </c>
      <c r="G48" s="1" t="b">
        <f t="array" ref="G48">AND(ISNUMBER(C48:F48))</f>
        <v>1</v>
      </c>
    </row>
    <row r="49" spans="1:7" x14ac:dyDescent="0.25">
      <c r="A49" s="2">
        <f t="shared" si="0"/>
        <v>47</v>
      </c>
      <c r="B49" s="8">
        <f t="shared" ca="1" si="2"/>
        <v>12</v>
      </c>
      <c r="C49" s="1">
        <f>Retailer!H49</f>
        <v>0</v>
      </c>
      <c r="D49" s="1">
        <f>Wholesaler!H49</f>
        <v>0</v>
      </c>
      <c r="E49" s="1">
        <f>Supplier!H49</f>
        <v>0</v>
      </c>
      <c r="F49" s="1">
        <f>Factory!H49</f>
        <v>0</v>
      </c>
      <c r="G49" s="1" t="b">
        <f t="array" ref="G49">AND(ISNUMBER(C49:F49))</f>
        <v>1</v>
      </c>
    </row>
    <row r="50" spans="1:7" x14ac:dyDescent="0.25">
      <c r="A50" s="2">
        <f t="shared" si="0"/>
        <v>48</v>
      </c>
      <c r="B50" s="8">
        <f t="shared" ca="1" si="2"/>
        <v>12</v>
      </c>
      <c r="C50" s="1">
        <f>Retailer!H50</f>
        <v>0</v>
      </c>
      <c r="D50" s="1">
        <f>Wholesaler!H50</f>
        <v>0</v>
      </c>
      <c r="E50" s="1">
        <f>Supplier!H50</f>
        <v>0</v>
      </c>
      <c r="F50" s="1">
        <f>Factory!H50</f>
        <v>0</v>
      </c>
      <c r="G50" s="1" t="b">
        <f t="array" ref="G50">AND(ISNUMBER(C50:F50))</f>
        <v>1</v>
      </c>
    </row>
    <row r="51" spans="1:7" x14ac:dyDescent="0.25">
      <c r="A51" s="2">
        <f t="shared" si="0"/>
        <v>49</v>
      </c>
      <c r="B51" s="8">
        <f t="shared" ca="1" si="2"/>
        <v>12</v>
      </c>
      <c r="C51" s="1">
        <f>Retailer!H51</f>
        <v>0</v>
      </c>
      <c r="D51" s="1">
        <f>Wholesaler!H51</f>
        <v>0</v>
      </c>
      <c r="E51" s="1">
        <f>Supplier!H51</f>
        <v>0</v>
      </c>
      <c r="F51" s="1">
        <f>Factory!H51</f>
        <v>0</v>
      </c>
      <c r="G51" s="1" t="b">
        <f t="array" ref="G51">AND(ISNUMBER(C51:F51))</f>
        <v>1</v>
      </c>
    </row>
    <row r="52" spans="1:7" x14ac:dyDescent="0.25">
      <c r="A52" s="2">
        <f t="shared" si="0"/>
        <v>50</v>
      </c>
      <c r="B52" s="8">
        <f t="shared" ca="1" si="2"/>
        <v>12</v>
      </c>
      <c r="C52" s="1">
        <f>Retailer!H52</f>
        <v>0</v>
      </c>
      <c r="D52" s="1">
        <f>Wholesaler!H52</f>
        <v>0</v>
      </c>
      <c r="E52" s="1">
        <f>Supplier!H52</f>
        <v>0</v>
      </c>
      <c r="F52" s="1">
        <f>Factory!H52</f>
        <v>0</v>
      </c>
      <c r="G52" s="1" t="b">
        <f t="array" ref="G52">AND(ISNUMBER(C52:F52))</f>
        <v>1</v>
      </c>
    </row>
    <row r="53" spans="1:7" x14ac:dyDescent="0.25">
      <c r="A53" s="2"/>
      <c r="B53" s="5"/>
    </row>
    <row r="54" spans="1:7" x14ac:dyDescent="0.25">
      <c r="A54" s="2"/>
      <c r="B54" s="5"/>
    </row>
    <row r="55" spans="1:7" x14ac:dyDescent="0.25">
      <c r="A55" s="2"/>
      <c r="B55" s="5"/>
    </row>
    <row r="56" spans="1:7" x14ac:dyDescent="0.25">
      <c r="A56" s="2"/>
      <c r="B56" s="5"/>
    </row>
    <row r="57" spans="1:7" x14ac:dyDescent="0.25">
      <c r="A57" s="2"/>
      <c r="B57" s="5"/>
    </row>
    <row r="58" spans="1:7" x14ac:dyDescent="0.25">
      <c r="A58" s="2"/>
      <c r="B58" s="5"/>
    </row>
    <row r="59" spans="1:7" x14ac:dyDescent="0.25">
      <c r="A59" s="2"/>
      <c r="B59" s="5"/>
    </row>
    <row r="60" spans="1:7" x14ac:dyDescent="0.25">
      <c r="A60" s="2"/>
      <c r="B60" s="5"/>
    </row>
    <row r="61" spans="1:7" x14ac:dyDescent="0.25">
      <c r="A61" s="2"/>
      <c r="B61" s="5"/>
    </row>
    <row r="62" spans="1:7" x14ac:dyDescent="0.25">
      <c r="A62" s="2"/>
      <c r="B62" s="5"/>
    </row>
    <row r="63" spans="1:7" x14ac:dyDescent="0.25">
      <c r="A63" s="2"/>
      <c r="B63" s="5"/>
    </row>
    <row r="64" spans="1:7" x14ac:dyDescent="0.25">
      <c r="A64" s="2"/>
      <c r="B64" s="5"/>
    </row>
    <row r="65" spans="1:2" x14ac:dyDescent="0.25">
      <c r="A65" s="2"/>
      <c r="B65" s="5"/>
    </row>
    <row r="66" spans="1:2" x14ac:dyDescent="0.25">
      <c r="A66" s="2"/>
      <c r="B66" s="5"/>
    </row>
    <row r="67" spans="1:2" x14ac:dyDescent="0.25">
      <c r="A67" s="2"/>
      <c r="B67" s="5"/>
    </row>
    <row r="68" spans="1:2" x14ac:dyDescent="0.25">
      <c r="A68" s="2"/>
      <c r="B68" s="5"/>
    </row>
    <row r="69" spans="1:2" x14ac:dyDescent="0.25">
      <c r="A69" s="2"/>
      <c r="B69" s="5"/>
    </row>
    <row r="70" spans="1:2" x14ac:dyDescent="0.25">
      <c r="A70" s="2"/>
      <c r="B70" s="5"/>
    </row>
    <row r="71" spans="1:2" x14ac:dyDescent="0.25">
      <c r="A71" s="2"/>
      <c r="B71" s="5"/>
    </row>
    <row r="72" spans="1:2" x14ac:dyDescent="0.25">
      <c r="A72" s="2"/>
      <c r="B72" s="5"/>
    </row>
    <row r="73" spans="1:2" x14ac:dyDescent="0.25">
      <c r="A73" s="2"/>
      <c r="B73" s="5"/>
    </row>
    <row r="74" spans="1:2" x14ac:dyDescent="0.25">
      <c r="A74" s="2"/>
      <c r="B74" s="5"/>
    </row>
    <row r="75" spans="1:2" x14ac:dyDescent="0.25">
      <c r="A75" s="2"/>
      <c r="B75" s="5"/>
    </row>
    <row r="76" spans="1:2" x14ac:dyDescent="0.25">
      <c r="A76" s="2"/>
      <c r="B76" s="5"/>
    </row>
    <row r="77" spans="1:2" x14ac:dyDescent="0.25">
      <c r="A77" s="2"/>
      <c r="B77" s="5"/>
    </row>
    <row r="78" spans="1:2" x14ac:dyDescent="0.25">
      <c r="A78" s="2"/>
      <c r="B78" s="5"/>
    </row>
    <row r="79" spans="1:2" x14ac:dyDescent="0.25">
      <c r="A79" s="2"/>
      <c r="B79" s="5"/>
    </row>
    <row r="80" spans="1:2" x14ac:dyDescent="0.25">
      <c r="A80" s="2"/>
      <c r="B80" s="5"/>
    </row>
    <row r="81" spans="1:2" x14ac:dyDescent="0.25">
      <c r="A81" s="2"/>
      <c r="B81" s="5"/>
    </row>
    <row r="82" spans="1:2" x14ac:dyDescent="0.25">
      <c r="A82" s="2"/>
      <c r="B82" s="5"/>
    </row>
    <row r="83" spans="1:2" x14ac:dyDescent="0.25">
      <c r="A83" s="2"/>
      <c r="B83" s="5"/>
    </row>
    <row r="84" spans="1:2" x14ac:dyDescent="0.25">
      <c r="A84" s="2"/>
      <c r="B84" s="5"/>
    </row>
    <row r="85" spans="1:2" x14ac:dyDescent="0.25">
      <c r="A85" s="2"/>
      <c r="B85" s="5"/>
    </row>
    <row r="86" spans="1:2" x14ac:dyDescent="0.25">
      <c r="A86" s="2"/>
      <c r="B86" s="5"/>
    </row>
    <row r="87" spans="1:2" x14ac:dyDescent="0.25">
      <c r="A87" s="2"/>
      <c r="B87" s="5"/>
    </row>
    <row r="88" spans="1:2" x14ac:dyDescent="0.25">
      <c r="A88" s="2"/>
      <c r="B88" s="5"/>
    </row>
    <row r="89" spans="1:2" x14ac:dyDescent="0.25">
      <c r="A89" s="2"/>
      <c r="B89" s="5"/>
    </row>
    <row r="90" spans="1:2" x14ac:dyDescent="0.25">
      <c r="A90" s="2"/>
      <c r="B90" s="5"/>
    </row>
    <row r="91" spans="1:2" x14ac:dyDescent="0.25">
      <c r="A91" s="2"/>
      <c r="B91" s="5"/>
    </row>
    <row r="92" spans="1:2" x14ac:dyDescent="0.25">
      <c r="A92" s="2"/>
      <c r="B92" s="5"/>
    </row>
    <row r="93" spans="1:2" x14ac:dyDescent="0.25">
      <c r="A93" s="2"/>
      <c r="B93" s="5"/>
    </row>
    <row r="94" spans="1:2" x14ac:dyDescent="0.25">
      <c r="A94" s="2"/>
      <c r="B94" s="5"/>
    </row>
    <row r="95" spans="1:2" x14ac:dyDescent="0.25">
      <c r="A95" s="2"/>
      <c r="B95" s="5"/>
    </row>
    <row r="96" spans="1:2" x14ac:dyDescent="0.25">
      <c r="A96" s="2"/>
      <c r="B96" s="5"/>
    </row>
    <row r="97" spans="1:2" x14ac:dyDescent="0.25">
      <c r="A97" s="2"/>
      <c r="B97" s="5"/>
    </row>
    <row r="98" spans="1:2" x14ac:dyDescent="0.25">
      <c r="A98" s="2"/>
      <c r="B98" s="5"/>
    </row>
    <row r="99" spans="1:2" x14ac:dyDescent="0.25">
      <c r="A99" s="2"/>
      <c r="B99" s="5"/>
    </row>
    <row r="100" spans="1:2" x14ac:dyDescent="0.25">
      <c r="A100" s="2"/>
      <c r="B100" s="5"/>
    </row>
    <row r="101" spans="1:2" x14ac:dyDescent="0.25">
      <c r="A101" s="2"/>
      <c r="B101" s="5"/>
    </row>
    <row r="102" spans="1:2" x14ac:dyDescent="0.25">
      <c r="A102" s="2"/>
      <c r="B102" s="5"/>
    </row>
    <row r="103" spans="1:2" x14ac:dyDescent="0.25">
      <c r="A103" s="2"/>
      <c r="B103" s="5"/>
    </row>
    <row r="104" spans="1:2" x14ac:dyDescent="0.25">
      <c r="A104" s="2"/>
      <c r="B104" s="5"/>
    </row>
    <row r="105" spans="1:2" x14ac:dyDescent="0.25">
      <c r="A105" s="2"/>
      <c r="B105" s="5"/>
    </row>
    <row r="106" spans="1:2" x14ac:dyDescent="0.25">
      <c r="A106" s="2"/>
      <c r="B106" s="5"/>
    </row>
    <row r="107" spans="1:2" x14ac:dyDescent="0.25">
      <c r="A107" s="2"/>
      <c r="B107" s="5"/>
    </row>
    <row r="108" spans="1:2" x14ac:dyDescent="0.25">
      <c r="A108" s="2"/>
      <c r="B108" s="5"/>
    </row>
    <row r="109" spans="1:2" x14ac:dyDescent="0.25">
      <c r="A109" s="2"/>
      <c r="B109" s="5"/>
    </row>
    <row r="110" spans="1:2" x14ac:dyDescent="0.25">
      <c r="A110" s="2"/>
      <c r="B110" s="5"/>
    </row>
    <row r="111" spans="1:2" x14ac:dyDescent="0.25">
      <c r="A111" s="2"/>
      <c r="B111" s="5"/>
    </row>
    <row r="112" spans="1:2" x14ac:dyDescent="0.25">
      <c r="A112" s="2"/>
      <c r="B112" s="5"/>
    </row>
    <row r="113" spans="1:2" x14ac:dyDescent="0.25">
      <c r="A113" s="2"/>
      <c r="B113" s="5"/>
    </row>
    <row r="114" spans="1:2" x14ac:dyDescent="0.25">
      <c r="A114" s="2"/>
      <c r="B114" s="5"/>
    </row>
    <row r="115" spans="1:2" x14ac:dyDescent="0.25">
      <c r="A115" s="2"/>
      <c r="B115" s="5"/>
    </row>
    <row r="116" spans="1:2" x14ac:dyDescent="0.25">
      <c r="A116" s="2"/>
      <c r="B116" s="5"/>
    </row>
    <row r="117" spans="1:2" x14ac:dyDescent="0.25">
      <c r="A117" s="2"/>
      <c r="B117" s="5"/>
    </row>
    <row r="118" spans="1:2" x14ac:dyDescent="0.25">
      <c r="A118" s="2"/>
      <c r="B118" s="5"/>
    </row>
    <row r="119" spans="1:2" x14ac:dyDescent="0.25">
      <c r="A119" s="2"/>
      <c r="B119" s="5"/>
    </row>
    <row r="120" spans="1:2" x14ac:dyDescent="0.25">
      <c r="A120" s="2"/>
      <c r="B120" s="5"/>
    </row>
    <row r="121" spans="1:2" x14ac:dyDescent="0.25">
      <c r="A121" s="2"/>
      <c r="B121" s="5"/>
    </row>
    <row r="122" spans="1:2" x14ac:dyDescent="0.25">
      <c r="A122" s="2"/>
      <c r="B122" s="5"/>
    </row>
    <row r="123" spans="1:2" x14ac:dyDescent="0.25">
      <c r="A123" s="2"/>
      <c r="B123" s="5"/>
    </row>
    <row r="124" spans="1:2" x14ac:dyDescent="0.25">
      <c r="A124" s="2"/>
      <c r="B124" s="5"/>
    </row>
    <row r="125" spans="1:2" x14ac:dyDescent="0.25">
      <c r="A125" s="2"/>
      <c r="B125" s="5"/>
    </row>
    <row r="126" spans="1:2" x14ac:dyDescent="0.25">
      <c r="A126" s="2"/>
      <c r="B126" s="5"/>
    </row>
    <row r="127" spans="1:2" x14ac:dyDescent="0.25">
      <c r="A127" s="2"/>
      <c r="B127" s="5"/>
    </row>
    <row r="128" spans="1:2" x14ac:dyDescent="0.25">
      <c r="A128" s="2"/>
      <c r="B128" s="5"/>
    </row>
    <row r="129" spans="1:2" x14ac:dyDescent="0.25">
      <c r="A129" s="2"/>
      <c r="B129" s="5"/>
    </row>
    <row r="130" spans="1:2" x14ac:dyDescent="0.25">
      <c r="A130" s="2"/>
      <c r="B130" s="5"/>
    </row>
    <row r="131" spans="1:2" x14ac:dyDescent="0.25">
      <c r="A131" s="2"/>
      <c r="B131" s="5"/>
    </row>
    <row r="132" spans="1:2" x14ac:dyDescent="0.25">
      <c r="A132" s="2"/>
      <c r="B132" s="5"/>
    </row>
    <row r="133" spans="1:2" x14ac:dyDescent="0.25">
      <c r="A133" s="2"/>
      <c r="B133" s="5"/>
    </row>
    <row r="134" spans="1:2" x14ac:dyDescent="0.25">
      <c r="A134" s="2"/>
      <c r="B134" s="5"/>
    </row>
    <row r="135" spans="1:2" x14ac:dyDescent="0.25">
      <c r="A135" s="2"/>
      <c r="B135" s="5"/>
    </row>
    <row r="136" spans="1:2" x14ac:dyDescent="0.25">
      <c r="A136" s="2"/>
      <c r="B136" s="5"/>
    </row>
    <row r="137" spans="1:2" x14ac:dyDescent="0.25">
      <c r="A137" s="2"/>
      <c r="B137" s="5"/>
    </row>
    <row r="138" spans="1:2" x14ac:dyDescent="0.25">
      <c r="A138" s="2"/>
      <c r="B138" s="5"/>
    </row>
    <row r="139" spans="1:2" x14ac:dyDescent="0.25">
      <c r="A139" s="2"/>
      <c r="B139" s="5"/>
    </row>
    <row r="140" spans="1:2" x14ac:dyDescent="0.25">
      <c r="A140" s="2"/>
      <c r="B140" s="5"/>
    </row>
    <row r="141" spans="1:2" x14ac:dyDescent="0.25">
      <c r="A141" s="2"/>
      <c r="B141" s="5"/>
    </row>
    <row r="142" spans="1:2" x14ac:dyDescent="0.25">
      <c r="A142" s="2"/>
      <c r="B142" s="5"/>
    </row>
    <row r="143" spans="1:2" x14ac:dyDescent="0.25">
      <c r="A143" s="2"/>
      <c r="B143" s="5"/>
    </row>
    <row r="144" spans="1:2" x14ac:dyDescent="0.25">
      <c r="A144" s="2"/>
      <c r="B144" s="5"/>
    </row>
    <row r="145" spans="1:2" x14ac:dyDescent="0.25">
      <c r="A145" s="2"/>
      <c r="B145" s="5"/>
    </row>
    <row r="146" spans="1:2" x14ac:dyDescent="0.25">
      <c r="A146" s="2"/>
      <c r="B146" s="5"/>
    </row>
    <row r="147" spans="1:2" x14ac:dyDescent="0.25">
      <c r="A147" s="2"/>
      <c r="B147" s="5"/>
    </row>
    <row r="148" spans="1:2" x14ac:dyDescent="0.25">
      <c r="A148" s="2"/>
      <c r="B148" s="5"/>
    </row>
    <row r="149" spans="1:2" x14ac:dyDescent="0.25">
      <c r="A149" s="2"/>
      <c r="B149" s="5"/>
    </row>
    <row r="150" spans="1:2" x14ac:dyDescent="0.25">
      <c r="A150" s="2"/>
      <c r="B150" s="5"/>
    </row>
    <row r="151" spans="1:2" x14ac:dyDescent="0.25">
      <c r="A151" s="2"/>
      <c r="B151" s="5"/>
    </row>
    <row r="152" spans="1:2" x14ac:dyDescent="0.25">
      <c r="A152" s="2"/>
      <c r="B152" s="5"/>
    </row>
    <row r="153" spans="1:2" x14ac:dyDescent="0.25">
      <c r="A153" s="2"/>
      <c r="B153" s="5"/>
    </row>
    <row r="154" spans="1:2" x14ac:dyDescent="0.25">
      <c r="A154" s="2"/>
      <c r="B154" s="5"/>
    </row>
    <row r="155" spans="1:2" x14ac:dyDescent="0.25">
      <c r="A155" s="2"/>
      <c r="B155" s="5"/>
    </row>
    <row r="156" spans="1:2" x14ac:dyDescent="0.25">
      <c r="A156" s="2"/>
      <c r="B156" s="5"/>
    </row>
    <row r="157" spans="1:2" x14ac:dyDescent="0.25">
      <c r="A157" s="2"/>
      <c r="B157" s="5"/>
    </row>
    <row r="158" spans="1:2" x14ac:dyDescent="0.25">
      <c r="A158" s="2"/>
      <c r="B158" s="5"/>
    </row>
    <row r="159" spans="1:2" x14ac:dyDescent="0.25">
      <c r="A159" s="2"/>
      <c r="B159" s="5"/>
    </row>
    <row r="160" spans="1:2" x14ac:dyDescent="0.25">
      <c r="A160" s="2"/>
      <c r="B160" s="5"/>
    </row>
    <row r="161" spans="1:2" x14ac:dyDescent="0.25">
      <c r="A161" s="2"/>
      <c r="B161" s="5"/>
    </row>
    <row r="162" spans="1:2" x14ac:dyDescent="0.25">
      <c r="A162" s="2"/>
      <c r="B162" s="5"/>
    </row>
    <row r="163" spans="1:2" x14ac:dyDescent="0.25">
      <c r="A163" s="2"/>
      <c r="B163" s="5"/>
    </row>
    <row r="164" spans="1:2" x14ac:dyDescent="0.25">
      <c r="A164" s="2"/>
      <c r="B164" s="5"/>
    </row>
    <row r="165" spans="1:2" x14ac:dyDescent="0.25">
      <c r="A165" s="2"/>
      <c r="B165" s="5"/>
    </row>
    <row r="166" spans="1:2" x14ac:dyDescent="0.25">
      <c r="A166" s="2"/>
      <c r="B166" s="5"/>
    </row>
    <row r="167" spans="1:2" x14ac:dyDescent="0.25">
      <c r="A167" s="2"/>
      <c r="B167" s="5"/>
    </row>
    <row r="168" spans="1:2" x14ac:dyDescent="0.25">
      <c r="A168" s="2"/>
      <c r="B168" s="5"/>
    </row>
    <row r="169" spans="1:2" x14ac:dyDescent="0.25">
      <c r="A169" s="2"/>
      <c r="B169" s="5"/>
    </row>
    <row r="170" spans="1:2" x14ac:dyDescent="0.25">
      <c r="A170" s="2"/>
      <c r="B170" s="5"/>
    </row>
    <row r="171" spans="1:2" x14ac:dyDescent="0.25">
      <c r="A171" s="2"/>
      <c r="B171" s="5"/>
    </row>
    <row r="172" spans="1:2" x14ac:dyDescent="0.25">
      <c r="A172" s="2"/>
      <c r="B172" s="5"/>
    </row>
    <row r="173" spans="1:2" x14ac:dyDescent="0.25">
      <c r="A173" s="2"/>
      <c r="B173" s="5"/>
    </row>
    <row r="174" spans="1:2" x14ac:dyDescent="0.25">
      <c r="A174" s="2"/>
      <c r="B174" s="5"/>
    </row>
    <row r="175" spans="1:2" x14ac:dyDescent="0.25">
      <c r="A175" s="2"/>
      <c r="B175" s="5"/>
    </row>
    <row r="176" spans="1:2" x14ac:dyDescent="0.25">
      <c r="A176" s="2"/>
      <c r="B176" s="5"/>
    </row>
    <row r="177" spans="1:2" x14ac:dyDescent="0.25">
      <c r="A177" s="2"/>
      <c r="B177" s="5"/>
    </row>
    <row r="178" spans="1:2" x14ac:dyDescent="0.25">
      <c r="A178" s="2"/>
      <c r="B178" s="5"/>
    </row>
    <row r="179" spans="1:2" x14ac:dyDescent="0.25">
      <c r="A179" s="2"/>
      <c r="B179" s="5"/>
    </row>
    <row r="180" spans="1:2" x14ac:dyDescent="0.25">
      <c r="A180" s="2"/>
      <c r="B180" s="5"/>
    </row>
    <row r="181" spans="1:2" x14ac:dyDescent="0.25">
      <c r="A181" s="2"/>
      <c r="B181" s="5"/>
    </row>
    <row r="182" spans="1:2" x14ac:dyDescent="0.25">
      <c r="A182" s="2"/>
      <c r="B182" s="5"/>
    </row>
    <row r="183" spans="1:2" x14ac:dyDescent="0.25">
      <c r="A183" s="2"/>
      <c r="B183" s="5"/>
    </row>
    <row r="184" spans="1:2" x14ac:dyDescent="0.25">
      <c r="A184" s="2"/>
      <c r="B184" s="5"/>
    </row>
    <row r="185" spans="1:2" x14ac:dyDescent="0.25">
      <c r="A185" s="2"/>
      <c r="B185" s="5"/>
    </row>
    <row r="186" spans="1:2" x14ac:dyDescent="0.25">
      <c r="A186" s="2"/>
      <c r="B186" s="5"/>
    </row>
    <row r="187" spans="1:2" x14ac:dyDescent="0.25">
      <c r="A187" s="2"/>
      <c r="B187" s="5"/>
    </row>
    <row r="188" spans="1:2" x14ac:dyDescent="0.25">
      <c r="A188" s="2"/>
      <c r="B188" s="5"/>
    </row>
    <row r="189" spans="1:2" x14ac:dyDescent="0.25">
      <c r="A189" s="2"/>
      <c r="B189" s="5"/>
    </row>
    <row r="190" spans="1:2" x14ac:dyDescent="0.25">
      <c r="A190" s="2"/>
      <c r="B190" s="5"/>
    </row>
    <row r="191" spans="1:2" x14ac:dyDescent="0.25">
      <c r="A191" s="2"/>
      <c r="B191" s="5"/>
    </row>
    <row r="192" spans="1:2" x14ac:dyDescent="0.25">
      <c r="A192" s="2"/>
      <c r="B192" s="5"/>
    </row>
    <row r="193" spans="1:2" x14ac:dyDescent="0.25">
      <c r="A193" s="2"/>
      <c r="B193" s="5"/>
    </row>
    <row r="194" spans="1:2" x14ac:dyDescent="0.25">
      <c r="A194" s="2"/>
      <c r="B194" s="5"/>
    </row>
    <row r="195" spans="1:2" x14ac:dyDescent="0.25">
      <c r="A195" s="2"/>
      <c r="B195" s="5"/>
    </row>
    <row r="196" spans="1:2" x14ac:dyDescent="0.25">
      <c r="A196" s="2"/>
      <c r="B196" s="5"/>
    </row>
    <row r="197" spans="1:2" x14ac:dyDescent="0.25">
      <c r="A197" s="2"/>
      <c r="B197" s="5"/>
    </row>
    <row r="198" spans="1:2" x14ac:dyDescent="0.25">
      <c r="A198" s="2"/>
      <c r="B198" s="5"/>
    </row>
    <row r="199" spans="1:2" x14ac:dyDescent="0.25">
      <c r="A199" s="2"/>
      <c r="B199" s="5"/>
    </row>
    <row r="200" spans="1:2" x14ac:dyDescent="0.25">
      <c r="A200" s="2"/>
      <c r="B200" s="5"/>
    </row>
    <row r="201" spans="1:2" x14ac:dyDescent="0.25">
      <c r="A201" s="2"/>
      <c r="B201" s="5"/>
    </row>
    <row r="202" spans="1:2" x14ac:dyDescent="0.25">
      <c r="A202" s="2"/>
      <c r="B202" s="5"/>
    </row>
    <row r="203" spans="1:2" x14ac:dyDescent="0.25">
      <c r="A203" s="2"/>
      <c r="B203" s="5"/>
    </row>
    <row r="204" spans="1:2" x14ac:dyDescent="0.25">
      <c r="A204" s="2"/>
      <c r="B204" s="5"/>
    </row>
    <row r="205" spans="1:2" x14ac:dyDescent="0.25">
      <c r="A205" s="2"/>
      <c r="B205" s="5"/>
    </row>
    <row r="206" spans="1:2" x14ac:dyDescent="0.25">
      <c r="A206" s="2"/>
      <c r="B206" s="5"/>
    </row>
    <row r="207" spans="1:2" x14ac:dyDescent="0.25">
      <c r="A207" s="2"/>
      <c r="B207" s="5"/>
    </row>
    <row r="208" spans="1:2" x14ac:dyDescent="0.25">
      <c r="A208" s="2"/>
      <c r="B208" s="5"/>
    </row>
    <row r="209" spans="1:2" x14ac:dyDescent="0.25">
      <c r="A209" s="2"/>
      <c r="B209" s="5"/>
    </row>
    <row r="210" spans="1:2" x14ac:dyDescent="0.25">
      <c r="A210" s="2"/>
      <c r="B210" s="5"/>
    </row>
    <row r="211" spans="1:2" x14ac:dyDescent="0.25">
      <c r="A211" s="2"/>
      <c r="B211" s="5"/>
    </row>
    <row r="212" spans="1:2" x14ac:dyDescent="0.25">
      <c r="A212" s="2"/>
      <c r="B212" s="5"/>
    </row>
    <row r="213" spans="1:2" x14ac:dyDescent="0.25">
      <c r="A213" s="2"/>
      <c r="B213" s="5"/>
    </row>
    <row r="214" spans="1:2" x14ac:dyDescent="0.25">
      <c r="A214" s="2"/>
      <c r="B214" s="5"/>
    </row>
    <row r="215" spans="1:2" x14ac:dyDescent="0.25">
      <c r="A215" s="2"/>
      <c r="B215" s="5"/>
    </row>
    <row r="216" spans="1:2" x14ac:dyDescent="0.25">
      <c r="A216" s="2"/>
      <c r="B216" s="5"/>
    </row>
    <row r="217" spans="1:2" x14ac:dyDescent="0.25">
      <c r="A217" s="2"/>
      <c r="B217" s="5"/>
    </row>
    <row r="218" spans="1:2" x14ac:dyDescent="0.25">
      <c r="A218" s="2"/>
      <c r="B218" s="5"/>
    </row>
    <row r="219" spans="1:2" x14ac:dyDescent="0.25">
      <c r="A219" s="2"/>
      <c r="B219" s="5"/>
    </row>
    <row r="220" spans="1:2" x14ac:dyDescent="0.25">
      <c r="A220" s="2"/>
      <c r="B220" s="5"/>
    </row>
    <row r="221" spans="1:2" x14ac:dyDescent="0.25">
      <c r="A221" s="2"/>
      <c r="B221" s="5"/>
    </row>
    <row r="222" spans="1:2" x14ac:dyDescent="0.25">
      <c r="A222" s="2"/>
      <c r="B222" s="5"/>
    </row>
    <row r="223" spans="1:2" x14ac:dyDescent="0.25">
      <c r="A223" s="2"/>
      <c r="B223" s="5"/>
    </row>
    <row r="224" spans="1:2" x14ac:dyDescent="0.25">
      <c r="A224" s="2"/>
      <c r="B224" s="5"/>
    </row>
    <row r="225" spans="1:2" x14ac:dyDescent="0.25">
      <c r="A225" s="2"/>
      <c r="B225" s="5"/>
    </row>
    <row r="226" spans="1:2" x14ac:dyDescent="0.25">
      <c r="A226" s="2"/>
      <c r="B226" s="5"/>
    </row>
    <row r="227" spans="1:2" x14ac:dyDescent="0.25">
      <c r="A227" s="2"/>
      <c r="B227" s="5"/>
    </row>
    <row r="228" spans="1:2" x14ac:dyDescent="0.25">
      <c r="A228" s="2"/>
      <c r="B228" s="5"/>
    </row>
    <row r="229" spans="1:2" x14ac:dyDescent="0.25">
      <c r="A229" s="2"/>
      <c r="B229" s="5"/>
    </row>
    <row r="230" spans="1:2" x14ac:dyDescent="0.25">
      <c r="A230" s="2"/>
      <c r="B230" s="5"/>
    </row>
    <row r="231" spans="1:2" x14ac:dyDescent="0.25">
      <c r="A231" s="2"/>
      <c r="B231" s="5"/>
    </row>
    <row r="232" spans="1:2" x14ac:dyDescent="0.25">
      <c r="A232" s="2"/>
      <c r="B232" s="5"/>
    </row>
    <row r="233" spans="1:2" x14ac:dyDescent="0.25">
      <c r="A233" s="2"/>
      <c r="B233" s="5"/>
    </row>
    <row r="234" spans="1:2" x14ac:dyDescent="0.25">
      <c r="A234" s="2"/>
      <c r="B234" s="5"/>
    </row>
    <row r="235" spans="1:2" x14ac:dyDescent="0.25">
      <c r="A235" s="2"/>
      <c r="B235" s="5"/>
    </row>
    <row r="236" spans="1:2" x14ac:dyDescent="0.25">
      <c r="A236" s="2"/>
      <c r="B236" s="5"/>
    </row>
    <row r="237" spans="1:2" x14ac:dyDescent="0.25">
      <c r="A237" s="2"/>
      <c r="B237" s="5"/>
    </row>
    <row r="238" spans="1:2" x14ac:dyDescent="0.25">
      <c r="A238" s="2"/>
      <c r="B238" s="5"/>
    </row>
    <row r="239" spans="1:2" x14ac:dyDescent="0.25">
      <c r="A239" s="2"/>
      <c r="B239" s="5"/>
    </row>
    <row r="240" spans="1:2" x14ac:dyDescent="0.25">
      <c r="A240" s="2"/>
      <c r="B240" s="5"/>
    </row>
    <row r="241" spans="1:2" x14ac:dyDescent="0.25">
      <c r="A241" s="2"/>
      <c r="B241" s="5"/>
    </row>
    <row r="242" spans="1:2" x14ac:dyDescent="0.25">
      <c r="A242" s="2"/>
      <c r="B242" s="5"/>
    </row>
    <row r="243" spans="1:2" x14ac:dyDescent="0.25">
      <c r="A243" s="2"/>
      <c r="B243" s="5"/>
    </row>
    <row r="244" spans="1:2" x14ac:dyDescent="0.25">
      <c r="A244" s="2"/>
      <c r="B244" s="5"/>
    </row>
    <row r="245" spans="1:2" x14ac:dyDescent="0.25">
      <c r="A245" s="2"/>
      <c r="B245" s="5"/>
    </row>
    <row r="246" spans="1:2" x14ac:dyDescent="0.25">
      <c r="A246" s="2"/>
      <c r="B246" s="5"/>
    </row>
    <row r="247" spans="1:2" x14ac:dyDescent="0.25">
      <c r="A247" s="2"/>
      <c r="B247" s="5"/>
    </row>
    <row r="248" spans="1:2" x14ac:dyDescent="0.25">
      <c r="A248" s="2"/>
      <c r="B248" s="5"/>
    </row>
    <row r="249" spans="1:2" x14ac:dyDescent="0.25">
      <c r="A249" s="2"/>
      <c r="B249" s="5"/>
    </row>
    <row r="250" spans="1:2" x14ac:dyDescent="0.25">
      <c r="A250" s="2"/>
      <c r="B250" s="5"/>
    </row>
    <row r="251" spans="1:2" x14ac:dyDescent="0.25">
      <c r="A251" s="2"/>
      <c r="B251" s="5"/>
    </row>
    <row r="252" spans="1:2" x14ac:dyDescent="0.25">
      <c r="A252" s="2"/>
      <c r="B252" s="5"/>
    </row>
    <row r="253" spans="1:2" x14ac:dyDescent="0.25">
      <c r="A253" s="2"/>
      <c r="B253" s="5"/>
    </row>
    <row r="254" spans="1:2" x14ac:dyDescent="0.25">
      <c r="A254" s="2"/>
      <c r="B254" s="5"/>
    </row>
    <row r="255" spans="1:2" x14ac:dyDescent="0.25">
      <c r="A255" s="2"/>
      <c r="B255" s="5"/>
    </row>
    <row r="256" spans="1:2" x14ac:dyDescent="0.25">
      <c r="A256" s="2"/>
      <c r="B256" s="5"/>
    </row>
    <row r="257" spans="1:2" x14ac:dyDescent="0.25">
      <c r="A257" s="2"/>
      <c r="B257" s="5"/>
    </row>
    <row r="258" spans="1:2" x14ac:dyDescent="0.25">
      <c r="A258" s="2"/>
      <c r="B258" s="5"/>
    </row>
    <row r="259" spans="1:2" x14ac:dyDescent="0.25">
      <c r="A259" s="2"/>
      <c r="B259" s="5"/>
    </row>
    <row r="260" spans="1:2" x14ac:dyDescent="0.25">
      <c r="A260" s="2"/>
      <c r="B260" s="5"/>
    </row>
    <row r="261" spans="1:2" x14ac:dyDescent="0.25">
      <c r="A261" s="2"/>
      <c r="B261" s="5"/>
    </row>
    <row r="262" spans="1:2" x14ac:dyDescent="0.25">
      <c r="A262" s="2"/>
      <c r="B262" s="5"/>
    </row>
    <row r="263" spans="1:2" x14ac:dyDescent="0.25">
      <c r="A263" s="2"/>
      <c r="B263" s="5"/>
    </row>
    <row r="264" spans="1:2" x14ac:dyDescent="0.25">
      <c r="A264" s="2"/>
      <c r="B264" s="5"/>
    </row>
    <row r="265" spans="1:2" x14ac:dyDescent="0.25">
      <c r="A265" s="2"/>
      <c r="B265" s="5"/>
    </row>
    <row r="266" spans="1:2" x14ac:dyDescent="0.25">
      <c r="A266" s="2"/>
      <c r="B266" s="5"/>
    </row>
    <row r="267" spans="1:2" x14ac:dyDescent="0.25">
      <c r="A267" s="2"/>
      <c r="B267" s="5"/>
    </row>
    <row r="268" spans="1:2" x14ac:dyDescent="0.25">
      <c r="A268" s="2"/>
      <c r="B268" s="5"/>
    </row>
    <row r="269" spans="1:2" x14ac:dyDescent="0.25">
      <c r="A269" s="2"/>
      <c r="B269" s="5"/>
    </row>
    <row r="270" spans="1:2" x14ac:dyDescent="0.25">
      <c r="A270" s="2"/>
      <c r="B270" s="5"/>
    </row>
    <row r="271" spans="1:2" x14ac:dyDescent="0.25">
      <c r="A271" s="2"/>
      <c r="B271" s="5"/>
    </row>
    <row r="272" spans="1:2" x14ac:dyDescent="0.25">
      <c r="A272" s="2"/>
      <c r="B272" s="5"/>
    </row>
    <row r="273" spans="1:2" x14ac:dyDescent="0.25">
      <c r="A273" s="2"/>
      <c r="B273" s="5"/>
    </row>
    <row r="274" spans="1:2" x14ac:dyDescent="0.25">
      <c r="A274" s="2"/>
      <c r="B274" s="5"/>
    </row>
    <row r="275" spans="1:2" x14ac:dyDescent="0.25">
      <c r="A275" s="2"/>
      <c r="B275" s="5"/>
    </row>
    <row r="276" spans="1:2" x14ac:dyDescent="0.25">
      <c r="A276" s="2"/>
      <c r="B276" s="5"/>
    </row>
    <row r="277" spans="1:2" x14ac:dyDescent="0.25">
      <c r="A277" s="2"/>
      <c r="B277" s="5"/>
    </row>
    <row r="278" spans="1:2" x14ac:dyDescent="0.25">
      <c r="A278" s="2"/>
      <c r="B278" s="5"/>
    </row>
    <row r="279" spans="1:2" x14ac:dyDescent="0.25">
      <c r="A279" s="2"/>
      <c r="B279" s="5"/>
    </row>
    <row r="280" spans="1:2" x14ac:dyDescent="0.25">
      <c r="A280" s="2"/>
      <c r="B280" s="5"/>
    </row>
    <row r="281" spans="1:2" x14ac:dyDescent="0.25">
      <c r="A281" s="2"/>
      <c r="B281" s="5"/>
    </row>
    <row r="282" spans="1:2" x14ac:dyDescent="0.25">
      <c r="A282" s="2"/>
      <c r="B282" s="5"/>
    </row>
    <row r="283" spans="1:2" x14ac:dyDescent="0.25">
      <c r="A283" s="2"/>
      <c r="B283" s="5"/>
    </row>
    <row r="284" spans="1:2" x14ac:dyDescent="0.25">
      <c r="A284" s="2"/>
      <c r="B284" s="5"/>
    </row>
    <row r="285" spans="1:2" x14ac:dyDescent="0.25">
      <c r="A285" s="2"/>
      <c r="B285" s="5"/>
    </row>
    <row r="286" spans="1:2" x14ac:dyDescent="0.25">
      <c r="A286" s="2"/>
      <c r="B286" s="5"/>
    </row>
    <row r="287" spans="1:2" x14ac:dyDescent="0.25">
      <c r="A287" s="2"/>
      <c r="B287" s="5"/>
    </row>
    <row r="288" spans="1:2" x14ac:dyDescent="0.25">
      <c r="A288" s="2"/>
      <c r="B288" s="5"/>
    </row>
    <row r="289" spans="1:2" x14ac:dyDescent="0.25">
      <c r="A289" s="2"/>
      <c r="B289" s="5"/>
    </row>
    <row r="290" spans="1:2" x14ac:dyDescent="0.25">
      <c r="A290" s="2"/>
      <c r="B290" s="5"/>
    </row>
    <row r="291" spans="1:2" x14ac:dyDescent="0.25">
      <c r="A291" s="2"/>
      <c r="B291" s="5"/>
    </row>
    <row r="292" spans="1:2" x14ac:dyDescent="0.25">
      <c r="A292" s="2"/>
      <c r="B292" s="5"/>
    </row>
    <row r="293" spans="1:2" x14ac:dyDescent="0.25">
      <c r="A293" s="2"/>
      <c r="B293" s="5"/>
    </row>
    <row r="294" spans="1:2" x14ac:dyDescent="0.25">
      <c r="A294" s="2"/>
      <c r="B294" s="5"/>
    </row>
    <row r="295" spans="1:2" x14ac:dyDescent="0.25">
      <c r="A295" s="2"/>
      <c r="B295" s="5"/>
    </row>
    <row r="296" spans="1:2" x14ac:dyDescent="0.25">
      <c r="A296" s="2"/>
      <c r="B296" s="5"/>
    </row>
    <row r="297" spans="1:2" x14ac:dyDescent="0.25">
      <c r="A297" s="2"/>
      <c r="B297" s="5"/>
    </row>
    <row r="298" spans="1:2" x14ac:dyDescent="0.25">
      <c r="A298" s="2"/>
      <c r="B298" s="5"/>
    </row>
    <row r="299" spans="1:2" x14ac:dyDescent="0.25">
      <c r="A299" s="2"/>
      <c r="B299" s="5"/>
    </row>
    <row r="300" spans="1:2" x14ac:dyDescent="0.25">
      <c r="A300" s="2"/>
      <c r="B300" s="5"/>
    </row>
    <row r="301" spans="1:2" x14ac:dyDescent="0.25">
      <c r="A301" s="2"/>
      <c r="B301" s="5"/>
    </row>
    <row r="302" spans="1:2" x14ac:dyDescent="0.25">
      <c r="A302" s="2"/>
      <c r="B302" s="5"/>
    </row>
    <row r="303" spans="1:2" x14ac:dyDescent="0.25">
      <c r="A303" s="2"/>
      <c r="B303" s="5"/>
    </row>
    <row r="304" spans="1:2" x14ac:dyDescent="0.25">
      <c r="A304" s="2"/>
      <c r="B304" s="5"/>
    </row>
    <row r="305" spans="1:2" x14ac:dyDescent="0.25">
      <c r="A305" s="2"/>
      <c r="B305" s="5"/>
    </row>
    <row r="306" spans="1:2" x14ac:dyDescent="0.25">
      <c r="A306" s="2"/>
      <c r="B306" s="5"/>
    </row>
    <row r="307" spans="1:2" x14ac:dyDescent="0.25">
      <c r="A307" s="2"/>
      <c r="B307" s="5"/>
    </row>
    <row r="308" spans="1:2" x14ac:dyDescent="0.25">
      <c r="A308" s="2"/>
      <c r="B308" s="5"/>
    </row>
    <row r="309" spans="1:2" x14ac:dyDescent="0.25">
      <c r="A309" s="2"/>
      <c r="B309" s="5"/>
    </row>
    <row r="310" spans="1:2" x14ac:dyDescent="0.25">
      <c r="A310" s="2"/>
      <c r="B310" s="5"/>
    </row>
    <row r="311" spans="1:2" x14ac:dyDescent="0.25">
      <c r="A311" s="2"/>
      <c r="B311" s="5"/>
    </row>
    <row r="312" spans="1:2" x14ac:dyDescent="0.25">
      <c r="A312" s="2"/>
      <c r="B312" s="5"/>
    </row>
    <row r="313" spans="1:2" x14ac:dyDescent="0.25">
      <c r="A313" s="2"/>
      <c r="B313" s="5"/>
    </row>
    <row r="314" spans="1:2" x14ac:dyDescent="0.25">
      <c r="A314" s="2"/>
      <c r="B314" s="5"/>
    </row>
    <row r="315" spans="1:2" x14ac:dyDescent="0.25">
      <c r="A315" s="2"/>
      <c r="B315" s="5"/>
    </row>
    <row r="316" spans="1:2" x14ac:dyDescent="0.25">
      <c r="A316" s="2"/>
      <c r="B316" s="5"/>
    </row>
    <row r="317" spans="1:2" x14ac:dyDescent="0.25">
      <c r="A317" s="2"/>
      <c r="B317" s="5"/>
    </row>
    <row r="318" spans="1:2" x14ac:dyDescent="0.25">
      <c r="A318" s="2"/>
      <c r="B318" s="5"/>
    </row>
    <row r="319" spans="1:2" x14ac:dyDescent="0.25">
      <c r="A319" s="2"/>
      <c r="B319" s="5"/>
    </row>
    <row r="320" spans="1:2" x14ac:dyDescent="0.25">
      <c r="A320" s="2"/>
      <c r="B320" s="5"/>
    </row>
    <row r="321" spans="1:2" x14ac:dyDescent="0.25">
      <c r="A321" s="2"/>
      <c r="B321" s="5"/>
    </row>
    <row r="322" spans="1:2" x14ac:dyDescent="0.25">
      <c r="A322" s="2"/>
      <c r="B322" s="5"/>
    </row>
    <row r="323" spans="1:2" x14ac:dyDescent="0.25">
      <c r="A323" s="2"/>
      <c r="B323" s="5"/>
    </row>
    <row r="324" spans="1:2" x14ac:dyDescent="0.25">
      <c r="A324" s="2"/>
      <c r="B324" s="5"/>
    </row>
    <row r="325" spans="1:2" x14ac:dyDescent="0.25">
      <c r="A325" s="2"/>
      <c r="B325" s="5"/>
    </row>
    <row r="326" spans="1:2" x14ac:dyDescent="0.25">
      <c r="A326" s="2"/>
      <c r="B326" s="5"/>
    </row>
    <row r="327" spans="1:2" x14ac:dyDescent="0.25">
      <c r="A327" s="2"/>
      <c r="B327" s="5"/>
    </row>
    <row r="328" spans="1:2" x14ac:dyDescent="0.25">
      <c r="A328" s="2"/>
      <c r="B328" s="5"/>
    </row>
    <row r="329" spans="1:2" x14ac:dyDescent="0.25">
      <c r="A329" s="2"/>
      <c r="B329" s="5"/>
    </row>
    <row r="330" spans="1:2" x14ac:dyDescent="0.25">
      <c r="A330" s="2"/>
      <c r="B330" s="5"/>
    </row>
    <row r="331" spans="1:2" x14ac:dyDescent="0.25">
      <c r="A331" s="2"/>
      <c r="B331" s="5"/>
    </row>
    <row r="332" spans="1:2" x14ac:dyDescent="0.25">
      <c r="A332" s="2"/>
      <c r="B332" s="5"/>
    </row>
    <row r="333" spans="1:2" x14ac:dyDescent="0.25">
      <c r="A333" s="2"/>
      <c r="B333" s="5"/>
    </row>
    <row r="334" spans="1:2" x14ac:dyDescent="0.25">
      <c r="A334" s="2"/>
      <c r="B334" s="5"/>
    </row>
    <row r="335" spans="1:2" x14ac:dyDescent="0.25">
      <c r="A335" s="2"/>
      <c r="B335" s="5"/>
    </row>
    <row r="336" spans="1:2" x14ac:dyDescent="0.25">
      <c r="A336" s="2"/>
      <c r="B336" s="5"/>
    </row>
    <row r="337" spans="1:2" x14ac:dyDescent="0.25">
      <c r="A337" s="2"/>
      <c r="B337" s="5"/>
    </row>
    <row r="338" spans="1:2" x14ac:dyDescent="0.25">
      <c r="A338" s="2"/>
      <c r="B338" s="5"/>
    </row>
    <row r="339" spans="1:2" x14ac:dyDescent="0.25">
      <c r="A339" s="2"/>
      <c r="B339" s="5"/>
    </row>
    <row r="340" spans="1:2" x14ac:dyDescent="0.25">
      <c r="A340" s="2"/>
      <c r="B340" s="5"/>
    </row>
    <row r="341" spans="1:2" x14ac:dyDescent="0.25">
      <c r="A341" s="2"/>
      <c r="B341" s="5"/>
    </row>
    <row r="342" spans="1:2" x14ac:dyDescent="0.25">
      <c r="A342" s="2"/>
      <c r="B342" s="5"/>
    </row>
    <row r="343" spans="1:2" x14ac:dyDescent="0.25">
      <c r="A343" s="2"/>
      <c r="B343" s="5"/>
    </row>
    <row r="344" spans="1:2" x14ac:dyDescent="0.25">
      <c r="A344" s="2"/>
      <c r="B344" s="5"/>
    </row>
    <row r="345" spans="1:2" x14ac:dyDescent="0.25">
      <c r="A345" s="2"/>
      <c r="B345" s="5"/>
    </row>
    <row r="346" spans="1:2" x14ac:dyDescent="0.25">
      <c r="A346" s="2"/>
      <c r="B346" s="5"/>
    </row>
    <row r="347" spans="1:2" x14ac:dyDescent="0.25">
      <c r="A347" s="2"/>
      <c r="B347" s="5"/>
    </row>
    <row r="348" spans="1:2" x14ac:dyDescent="0.25">
      <c r="A348" s="2"/>
      <c r="B348" s="5"/>
    </row>
    <row r="349" spans="1:2" x14ac:dyDescent="0.25">
      <c r="A349" s="2"/>
      <c r="B349" s="5"/>
    </row>
    <row r="350" spans="1:2" x14ac:dyDescent="0.25">
      <c r="A350" s="2"/>
      <c r="B350" s="5"/>
    </row>
    <row r="351" spans="1:2" x14ac:dyDescent="0.25">
      <c r="A351" s="2"/>
      <c r="B351" s="5"/>
    </row>
    <row r="352" spans="1:2" x14ac:dyDescent="0.25">
      <c r="A352" s="2"/>
      <c r="B352" s="5"/>
    </row>
    <row r="353" spans="1:2" x14ac:dyDescent="0.25">
      <c r="A353" s="2"/>
      <c r="B353" s="5"/>
    </row>
    <row r="354" spans="1:2" x14ac:dyDescent="0.25">
      <c r="A354" s="2"/>
      <c r="B354" s="5"/>
    </row>
    <row r="355" spans="1:2" x14ac:dyDescent="0.25">
      <c r="A355" s="2"/>
      <c r="B355" s="5"/>
    </row>
    <row r="356" spans="1:2" x14ac:dyDescent="0.25">
      <c r="A356" s="2"/>
      <c r="B356" s="5"/>
    </row>
    <row r="357" spans="1:2" x14ac:dyDescent="0.25">
      <c r="A357" s="2"/>
      <c r="B357" s="5"/>
    </row>
    <row r="358" spans="1:2" x14ac:dyDescent="0.25">
      <c r="A358" s="2"/>
      <c r="B358" s="5"/>
    </row>
    <row r="359" spans="1:2" x14ac:dyDescent="0.25">
      <c r="A359" s="2"/>
      <c r="B359" s="5"/>
    </row>
    <row r="360" spans="1:2" x14ac:dyDescent="0.25">
      <c r="A360" s="2"/>
      <c r="B360" s="5"/>
    </row>
    <row r="361" spans="1:2" x14ac:dyDescent="0.25">
      <c r="A361" s="2"/>
      <c r="B361" s="5"/>
    </row>
    <row r="362" spans="1:2" x14ac:dyDescent="0.25">
      <c r="A362" s="2"/>
      <c r="B362" s="5"/>
    </row>
    <row r="363" spans="1:2" x14ac:dyDescent="0.25">
      <c r="A363" s="2"/>
      <c r="B363" s="5"/>
    </row>
    <row r="364" spans="1:2" x14ac:dyDescent="0.25">
      <c r="A364" s="2"/>
      <c r="B364" s="5"/>
    </row>
    <row r="365" spans="1:2" x14ac:dyDescent="0.25">
      <c r="A365" s="2"/>
      <c r="B365" s="5"/>
    </row>
    <row r="366" spans="1:2" x14ac:dyDescent="0.25">
      <c r="A366" s="2"/>
      <c r="B366" s="5"/>
    </row>
    <row r="367" spans="1:2" x14ac:dyDescent="0.25">
      <c r="A367" s="2"/>
      <c r="B367" s="5"/>
    </row>
    <row r="368" spans="1:2" x14ac:dyDescent="0.25">
      <c r="A368" s="2"/>
      <c r="B368" s="5"/>
    </row>
    <row r="369" spans="1:2" x14ac:dyDescent="0.25">
      <c r="A369" s="2"/>
      <c r="B369" s="5"/>
    </row>
    <row r="370" spans="1:2" x14ac:dyDescent="0.25">
      <c r="A370" s="2"/>
      <c r="B370" s="5"/>
    </row>
    <row r="371" spans="1:2" x14ac:dyDescent="0.25">
      <c r="A371" s="2"/>
      <c r="B371" s="5"/>
    </row>
    <row r="372" spans="1:2" x14ac:dyDescent="0.25">
      <c r="A372" s="2"/>
      <c r="B372" s="5"/>
    </row>
    <row r="373" spans="1:2" x14ac:dyDescent="0.25">
      <c r="A373" s="2"/>
      <c r="B373" s="5"/>
    </row>
    <row r="374" spans="1:2" x14ac:dyDescent="0.25">
      <c r="A374" s="2"/>
      <c r="B374" s="5"/>
    </row>
    <row r="375" spans="1:2" x14ac:dyDescent="0.25">
      <c r="A375" s="2"/>
      <c r="B375" s="5"/>
    </row>
    <row r="376" spans="1:2" x14ac:dyDescent="0.25">
      <c r="A376" s="2"/>
      <c r="B376" s="5"/>
    </row>
    <row r="377" spans="1:2" x14ac:dyDescent="0.25">
      <c r="A377" s="2"/>
      <c r="B377" s="5"/>
    </row>
    <row r="378" spans="1:2" x14ac:dyDescent="0.25">
      <c r="A378" s="2"/>
      <c r="B378" s="5"/>
    </row>
    <row r="379" spans="1:2" x14ac:dyDescent="0.25">
      <c r="A379" s="2"/>
      <c r="B379" s="5"/>
    </row>
    <row r="380" spans="1:2" x14ac:dyDescent="0.25">
      <c r="A380" s="2"/>
      <c r="B380" s="5"/>
    </row>
    <row r="381" spans="1:2" x14ac:dyDescent="0.25">
      <c r="A381" s="2"/>
      <c r="B381" s="5"/>
    </row>
    <row r="382" spans="1:2" x14ac:dyDescent="0.25">
      <c r="A382" s="2"/>
      <c r="B382" s="5"/>
    </row>
    <row r="383" spans="1:2" x14ac:dyDescent="0.25">
      <c r="A383" s="2"/>
      <c r="B383" s="5"/>
    </row>
    <row r="384" spans="1:2" x14ac:dyDescent="0.25">
      <c r="A384" s="2"/>
      <c r="B384" s="5"/>
    </row>
    <row r="385" spans="1:2" x14ac:dyDescent="0.25">
      <c r="A385" s="2"/>
      <c r="B385" s="5"/>
    </row>
    <row r="386" spans="1:2" x14ac:dyDescent="0.25">
      <c r="A386" s="2"/>
      <c r="B386" s="5"/>
    </row>
    <row r="387" spans="1:2" x14ac:dyDescent="0.25">
      <c r="A387" s="2"/>
      <c r="B387" s="5"/>
    </row>
    <row r="388" spans="1:2" x14ac:dyDescent="0.25">
      <c r="A388" s="2"/>
      <c r="B388" s="5"/>
    </row>
    <row r="389" spans="1:2" x14ac:dyDescent="0.25">
      <c r="A389" s="2"/>
      <c r="B389" s="5"/>
    </row>
    <row r="390" spans="1:2" x14ac:dyDescent="0.25">
      <c r="A390" s="2"/>
      <c r="B390" s="5"/>
    </row>
    <row r="391" spans="1:2" x14ac:dyDescent="0.25">
      <c r="A391" s="2"/>
      <c r="B391" s="5"/>
    </row>
    <row r="392" spans="1:2" x14ac:dyDescent="0.25">
      <c r="A392" s="2"/>
      <c r="B392" s="5"/>
    </row>
    <row r="393" spans="1:2" x14ac:dyDescent="0.25">
      <c r="A393" s="2"/>
      <c r="B393" s="5"/>
    </row>
    <row r="394" spans="1:2" x14ac:dyDescent="0.25">
      <c r="A394" s="2"/>
      <c r="B394" s="5"/>
    </row>
    <row r="395" spans="1:2" x14ac:dyDescent="0.25">
      <c r="A395" s="2"/>
      <c r="B395" s="5"/>
    </row>
    <row r="396" spans="1:2" x14ac:dyDescent="0.25">
      <c r="A396" s="2"/>
      <c r="B396" s="5"/>
    </row>
    <row r="397" spans="1:2" x14ac:dyDescent="0.25">
      <c r="A397" s="2"/>
      <c r="B397" s="5"/>
    </row>
    <row r="398" spans="1:2" x14ac:dyDescent="0.25">
      <c r="A398" s="2"/>
      <c r="B398" s="5"/>
    </row>
    <row r="399" spans="1:2" x14ac:dyDescent="0.25">
      <c r="A399" s="2"/>
      <c r="B399" s="5"/>
    </row>
    <row r="400" spans="1:2" x14ac:dyDescent="0.25">
      <c r="A400" s="2"/>
      <c r="B400" s="5"/>
    </row>
    <row r="401" spans="1:2" x14ac:dyDescent="0.25">
      <c r="A401" s="2"/>
      <c r="B401" s="5"/>
    </row>
    <row r="402" spans="1:2" x14ac:dyDescent="0.25">
      <c r="A402" s="2"/>
      <c r="B402" s="5"/>
    </row>
    <row r="403" spans="1:2" x14ac:dyDescent="0.25">
      <c r="A403" s="2"/>
      <c r="B403" s="5"/>
    </row>
    <row r="404" spans="1:2" x14ac:dyDescent="0.25">
      <c r="A404" s="2"/>
      <c r="B404" s="5"/>
    </row>
    <row r="405" spans="1:2" x14ac:dyDescent="0.25">
      <c r="A405" s="2"/>
      <c r="B405" s="5"/>
    </row>
    <row r="406" spans="1:2" x14ac:dyDescent="0.25">
      <c r="A406" s="2"/>
      <c r="B406" s="5"/>
    </row>
    <row r="407" spans="1:2" x14ac:dyDescent="0.25">
      <c r="A407" s="2"/>
      <c r="B407" s="5"/>
    </row>
    <row r="408" spans="1:2" x14ac:dyDescent="0.25">
      <c r="A408" s="2"/>
      <c r="B408" s="5"/>
    </row>
    <row r="409" spans="1:2" x14ac:dyDescent="0.25">
      <c r="A409" s="2"/>
      <c r="B409" s="5"/>
    </row>
    <row r="410" spans="1:2" x14ac:dyDescent="0.25">
      <c r="A410" s="2"/>
      <c r="B410" s="5"/>
    </row>
    <row r="411" spans="1:2" x14ac:dyDescent="0.25">
      <c r="A411" s="2"/>
      <c r="B411" s="5"/>
    </row>
    <row r="412" spans="1:2" x14ac:dyDescent="0.25">
      <c r="A412" s="2"/>
      <c r="B412" s="5"/>
    </row>
    <row r="413" spans="1:2" x14ac:dyDescent="0.25">
      <c r="A413" s="2"/>
      <c r="B413" s="5"/>
    </row>
    <row r="414" spans="1:2" x14ac:dyDescent="0.25">
      <c r="A414" s="2"/>
      <c r="B414" s="5"/>
    </row>
    <row r="415" spans="1:2" x14ac:dyDescent="0.25">
      <c r="A415" s="2"/>
      <c r="B415" s="5"/>
    </row>
    <row r="416" spans="1:2" x14ac:dyDescent="0.25">
      <c r="A416" s="2"/>
      <c r="B416" s="5"/>
    </row>
    <row r="417" spans="1:2" x14ac:dyDescent="0.25">
      <c r="A417" s="2"/>
      <c r="B417" s="5"/>
    </row>
    <row r="418" spans="1:2" x14ac:dyDescent="0.25">
      <c r="A418" s="2"/>
      <c r="B418" s="5"/>
    </row>
    <row r="419" spans="1:2" x14ac:dyDescent="0.25">
      <c r="A419" s="2"/>
      <c r="B419" s="5"/>
    </row>
    <row r="420" spans="1:2" x14ac:dyDescent="0.25">
      <c r="A420" s="2"/>
      <c r="B420" s="5"/>
    </row>
    <row r="421" spans="1:2" x14ac:dyDescent="0.25">
      <c r="A421" s="2"/>
      <c r="B421" s="5"/>
    </row>
    <row r="422" spans="1:2" x14ac:dyDescent="0.25">
      <c r="A422" s="2"/>
      <c r="B422" s="5"/>
    </row>
    <row r="423" spans="1:2" x14ac:dyDescent="0.25">
      <c r="A423" s="2"/>
      <c r="B423" s="5"/>
    </row>
    <row r="424" spans="1:2" x14ac:dyDescent="0.25">
      <c r="A424" s="2"/>
      <c r="B424" s="5"/>
    </row>
    <row r="425" spans="1:2" x14ac:dyDescent="0.25">
      <c r="A425" s="2"/>
      <c r="B425" s="5"/>
    </row>
    <row r="426" spans="1:2" x14ac:dyDescent="0.25">
      <c r="A426" s="2"/>
      <c r="B426" s="5"/>
    </row>
    <row r="427" spans="1:2" x14ac:dyDescent="0.25">
      <c r="A427" s="2"/>
      <c r="B427" s="5"/>
    </row>
    <row r="428" spans="1:2" x14ac:dyDescent="0.25">
      <c r="A428" s="2"/>
      <c r="B428" s="5"/>
    </row>
    <row r="429" spans="1:2" x14ac:dyDescent="0.25">
      <c r="A429" s="2"/>
      <c r="B429" s="5"/>
    </row>
    <row r="430" spans="1:2" x14ac:dyDescent="0.25">
      <c r="A430" s="2"/>
      <c r="B430" s="5"/>
    </row>
    <row r="431" spans="1:2" x14ac:dyDescent="0.25">
      <c r="A431" s="2"/>
      <c r="B431" s="5"/>
    </row>
    <row r="432" spans="1:2" x14ac:dyDescent="0.25">
      <c r="A432" s="2"/>
      <c r="B432" s="5"/>
    </row>
    <row r="433" spans="1:2" x14ac:dyDescent="0.25">
      <c r="A433" s="2"/>
      <c r="B433" s="5"/>
    </row>
    <row r="434" spans="1:2" x14ac:dyDescent="0.25">
      <c r="A434" s="2"/>
      <c r="B434" s="5"/>
    </row>
    <row r="435" spans="1:2" x14ac:dyDescent="0.25">
      <c r="A435" s="2"/>
      <c r="B435" s="5"/>
    </row>
    <row r="436" spans="1:2" x14ac:dyDescent="0.25">
      <c r="A436" s="2"/>
      <c r="B436" s="5"/>
    </row>
    <row r="437" spans="1:2" x14ac:dyDescent="0.25">
      <c r="A437" s="2"/>
      <c r="B437" s="5"/>
    </row>
    <row r="438" spans="1:2" x14ac:dyDescent="0.25">
      <c r="A438" s="2"/>
      <c r="B438" s="5"/>
    </row>
    <row r="439" spans="1:2" x14ac:dyDescent="0.25">
      <c r="A439" s="2"/>
      <c r="B439" s="5"/>
    </row>
    <row r="440" spans="1:2" x14ac:dyDescent="0.25">
      <c r="A440" s="2"/>
      <c r="B440" s="5"/>
    </row>
    <row r="441" spans="1:2" x14ac:dyDescent="0.25">
      <c r="A441" s="2"/>
      <c r="B441" s="5"/>
    </row>
    <row r="442" spans="1:2" x14ac:dyDescent="0.25">
      <c r="A442" s="2"/>
      <c r="B442" s="5"/>
    </row>
    <row r="443" spans="1:2" x14ac:dyDescent="0.25">
      <c r="A443" s="2"/>
      <c r="B443" s="5"/>
    </row>
    <row r="444" spans="1:2" x14ac:dyDescent="0.25">
      <c r="A444" s="2"/>
      <c r="B444" s="5"/>
    </row>
    <row r="445" spans="1:2" x14ac:dyDescent="0.25">
      <c r="A445" s="2"/>
      <c r="B445" s="5"/>
    </row>
    <row r="446" spans="1:2" x14ac:dyDescent="0.25">
      <c r="A446" s="2"/>
      <c r="B446" s="5"/>
    </row>
    <row r="447" spans="1:2" x14ac:dyDescent="0.25">
      <c r="A447" s="2"/>
      <c r="B447" s="5"/>
    </row>
    <row r="448" spans="1:2" x14ac:dyDescent="0.25">
      <c r="A448" s="2"/>
      <c r="B448" s="5"/>
    </row>
    <row r="449" spans="1:2" x14ac:dyDescent="0.25">
      <c r="A449" s="2"/>
      <c r="B449" s="5"/>
    </row>
    <row r="450" spans="1:2" x14ac:dyDescent="0.25">
      <c r="A450" s="2"/>
      <c r="B450" s="5"/>
    </row>
    <row r="451" spans="1:2" x14ac:dyDescent="0.25">
      <c r="A451" s="2"/>
      <c r="B451" s="5"/>
    </row>
    <row r="452" spans="1:2" x14ac:dyDescent="0.25">
      <c r="A452" s="2"/>
      <c r="B452" s="5"/>
    </row>
    <row r="453" spans="1:2" x14ac:dyDescent="0.25">
      <c r="A453" s="2"/>
      <c r="B453" s="5"/>
    </row>
    <row r="454" spans="1:2" x14ac:dyDescent="0.25">
      <c r="A454" s="2"/>
      <c r="B454" s="5"/>
    </row>
    <row r="455" spans="1:2" x14ac:dyDescent="0.25">
      <c r="A455" s="2"/>
      <c r="B455" s="5"/>
    </row>
    <row r="456" spans="1:2" x14ac:dyDescent="0.25">
      <c r="A456" s="2"/>
      <c r="B456" s="5"/>
    </row>
    <row r="457" spans="1:2" x14ac:dyDescent="0.25">
      <c r="A457" s="2"/>
      <c r="B457" s="5"/>
    </row>
    <row r="458" spans="1:2" x14ac:dyDescent="0.25">
      <c r="A458" s="2"/>
      <c r="B458" s="5"/>
    </row>
    <row r="459" spans="1:2" x14ac:dyDescent="0.25">
      <c r="A459" s="2"/>
      <c r="B459" s="5"/>
    </row>
    <row r="460" spans="1:2" x14ac:dyDescent="0.25">
      <c r="A460" s="2"/>
      <c r="B460" s="5"/>
    </row>
    <row r="461" spans="1:2" x14ac:dyDescent="0.25">
      <c r="A461" s="2"/>
      <c r="B461" s="5"/>
    </row>
    <row r="462" spans="1:2" x14ac:dyDescent="0.25">
      <c r="A462" s="2"/>
      <c r="B462" s="5"/>
    </row>
    <row r="463" spans="1:2" x14ac:dyDescent="0.25">
      <c r="A463" s="2"/>
      <c r="B463" s="5"/>
    </row>
    <row r="464" spans="1:2" x14ac:dyDescent="0.25">
      <c r="A464" s="2"/>
      <c r="B464" s="5"/>
    </row>
    <row r="465" spans="1:2" x14ac:dyDescent="0.25">
      <c r="A465" s="2"/>
      <c r="B465" s="5"/>
    </row>
    <row r="466" spans="1:2" x14ac:dyDescent="0.25">
      <c r="A466" s="2"/>
      <c r="B466" s="5"/>
    </row>
    <row r="467" spans="1:2" x14ac:dyDescent="0.25">
      <c r="A467" s="2"/>
      <c r="B467" s="5"/>
    </row>
    <row r="468" spans="1:2" x14ac:dyDescent="0.25">
      <c r="A468" s="2"/>
      <c r="B468" s="5"/>
    </row>
    <row r="469" spans="1:2" x14ac:dyDescent="0.25">
      <c r="A469" s="2"/>
      <c r="B469" s="5"/>
    </row>
    <row r="470" spans="1:2" x14ac:dyDescent="0.25">
      <c r="A470" s="2"/>
      <c r="B470" s="5"/>
    </row>
    <row r="471" spans="1:2" x14ac:dyDescent="0.25">
      <c r="A471" s="2"/>
      <c r="B471" s="5"/>
    </row>
    <row r="472" spans="1:2" x14ac:dyDescent="0.25">
      <c r="A472" s="2"/>
      <c r="B472" s="5"/>
    </row>
    <row r="473" spans="1:2" x14ac:dyDescent="0.25">
      <c r="A473" s="2"/>
      <c r="B473" s="5"/>
    </row>
    <row r="474" spans="1:2" x14ac:dyDescent="0.25">
      <c r="A474" s="2"/>
      <c r="B474" s="5"/>
    </row>
    <row r="475" spans="1:2" x14ac:dyDescent="0.25">
      <c r="A475" s="2"/>
      <c r="B475" s="5"/>
    </row>
    <row r="476" spans="1:2" x14ac:dyDescent="0.25">
      <c r="A476" s="2"/>
      <c r="B476" s="5"/>
    </row>
    <row r="477" spans="1:2" x14ac:dyDescent="0.25">
      <c r="A477" s="2"/>
      <c r="B477" s="5"/>
    </row>
    <row r="478" spans="1:2" x14ac:dyDescent="0.25">
      <c r="A478" s="2"/>
      <c r="B478" s="5"/>
    </row>
    <row r="479" spans="1:2" x14ac:dyDescent="0.25">
      <c r="A479" s="2"/>
      <c r="B479" s="5"/>
    </row>
    <row r="480" spans="1:2" x14ac:dyDescent="0.25">
      <c r="A480" s="2"/>
      <c r="B480" s="5"/>
    </row>
    <row r="481" spans="1:2" x14ac:dyDescent="0.25">
      <c r="A481" s="2"/>
      <c r="B481" s="5"/>
    </row>
    <row r="482" spans="1:2" x14ac:dyDescent="0.25">
      <c r="A482" s="2"/>
      <c r="B482" s="5"/>
    </row>
    <row r="483" spans="1:2" x14ac:dyDescent="0.25">
      <c r="A483" s="2"/>
      <c r="B483" s="5"/>
    </row>
    <row r="484" spans="1:2" x14ac:dyDescent="0.25">
      <c r="A484" s="2"/>
      <c r="B484" s="5"/>
    </row>
    <row r="485" spans="1:2" x14ac:dyDescent="0.25">
      <c r="A485" s="2"/>
      <c r="B485" s="5"/>
    </row>
    <row r="486" spans="1:2" x14ac:dyDescent="0.25">
      <c r="A486" s="2"/>
      <c r="B486" s="5"/>
    </row>
    <row r="487" spans="1:2" x14ac:dyDescent="0.25">
      <c r="A487" s="2"/>
      <c r="B487" s="5"/>
    </row>
    <row r="488" spans="1:2" x14ac:dyDescent="0.25">
      <c r="A488" s="2"/>
      <c r="B488" s="5"/>
    </row>
    <row r="489" spans="1:2" x14ac:dyDescent="0.25">
      <c r="A489" s="2"/>
      <c r="B489" s="5"/>
    </row>
    <row r="490" spans="1:2" x14ac:dyDescent="0.25">
      <c r="A490" s="2"/>
      <c r="B490" s="5"/>
    </row>
    <row r="491" spans="1:2" x14ac:dyDescent="0.25">
      <c r="A491" s="2"/>
      <c r="B491" s="5"/>
    </row>
    <row r="492" spans="1:2" x14ac:dyDescent="0.25">
      <c r="A492" s="2"/>
      <c r="B492" s="5"/>
    </row>
    <row r="493" spans="1:2" x14ac:dyDescent="0.25">
      <c r="A493" s="2"/>
      <c r="B493" s="5"/>
    </row>
    <row r="494" spans="1:2" x14ac:dyDescent="0.25">
      <c r="A494" s="2"/>
      <c r="B494" s="5"/>
    </row>
    <row r="495" spans="1:2" x14ac:dyDescent="0.25">
      <c r="A495" s="2"/>
      <c r="B495" s="5"/>
    </row>
    <row r="496" spans="1:2" x14ac:dyDescent="0.25">
      <c r="A496" s="2"/>
      <c r="B496" s="5"/>
    </row>
    <row r="497" spans="1:2" x14ac:dyDescent="0.25">
      <c r="A497" s="2"/>
      <c r="B497" s="5"/>
    </row>
    <row r="498" spans="1:2" x14ac:dyDescent="0.25">
      <c r="A498" s="2"/>
      <c r="B498" s="5"/>
    </row>
    <row r="499" spans="1:2" x14ac:dyDescent="0.25">
      <c r="A499" s="2"/>
      <c r="B499" s="5"/>
    </row>
    <row r="500" spans="1:2" x14ac:dyDescent="0.25">
      <c r="A500" s="2"/>
      <c r="B500" s="5"/>
    </row>
    <row r="501" spans="1:2" x14ac:dyDescent="0.25">
      <c r="A501" s="2"/>
      <c r="B501" s="5"/>
    </row>
    <row r="502" spans="1:2" x14ac:dyDescent="0.25">
      <c r="A502" s="2"/>
      <c r="B502" s="5"/>
    </row>
    <row r="503" spans="1:2" x14ac:dyDescent="0.25">
      <c r="A503" s="2"/>
      <c r="B503" s="5"/>
    </row>
    <row r="504" spans="1:2" x14ac:dyDescent="0.25">
      <c r="A504" s="2"/>
      <c r="B504" s="5"/>
    </row>
    <row r="505" spans="1:2" x14ac:dyDescent="0.25">
      <c r="A505" s="2"/>
      <c r="B505" s="5"/>
    </row>
    <row r="506" spans="1:2" x14ac:dyDescent="0.25">
      <c r="A506" s="2"/>
      <c r="B506" s="5"/>
    </row>
    <row r="507" spans="1:2" x14ac:dyDescent="0.25">
      <c r="A507" s="2"/>
      <c r="B507" s="5"/>
    </row>
    <row r="508" spans="1:2" x14ac:dyDescent="0.25">
      <c r="A508" s="2"/>
      <c r="B508" s="5"/>
    </row>
    <row r="509" spans="1:2" x14ac:dyDescent="0.25">
      <c r="A509" s="2"/>
      <c r="B509" s="5"/>
    </row>
    <row r="510" spans="1:2" x14ac:dyDescent="0.25">
      <c r="A510" s="2"/>
      <c r="B510" s="5"/>
    </row>
    <row r="511" spans="1:2" x14ac:dyDescent="0.25">
      <c r="A511" s="2"/>
      <c r="B511" s="5"/>
    </row>
    <row r="512" spans="1:2" x14ac:dyDescent="0.25">
      <c r="A512" s="2"/>
      <c r="B512" s="5"/>
    </row>
    <row r="513" spans="1:2" x14ac:dyDescent="0.25">
      <c r="A513" s="2"/>
      <c r="B513" s="5"/>
    </row>
    <row r="514" spans="1:2" x14ac:dyDescent="0.25">
      <c r="A514" s="2"/>
      <c r="B514" s="5"/>
    </row>
    <row r="515" spans="1:2" x14ac:dyDescent="0.25">
      <c r="A515" s="2"/>
      <c r="B515" s="5"/>
    </row>
    <row r="516" spans="1:2" x14ac:dyDescent="0.25">
      <c r="A516" s="2"/>
      <c r="B516" s="5"/>
    </row>
    <row r="517" spans="1:2" x14ac:dyDescent="0.25">
      <c r="A517" s="2"/>
      <c r="B517" s="5"/>
    </row>
    <row r="518" spans="1:2" x14ac:dyDescent="0.25">
      <c r="A518" s="2"/>
      <c r="B518" s="5"/>
    </row>
    <row r="519" spans="1:2" x14ac:dyDescent="0.25">
      <c r="A519" s="2"/>
      <c r="B519" s="5"/>
    </row>
    <row r="520" spans="1:2" x14ac:dyDescent="0.25">
      <c r="A520" s="2"/>
      <c r="B520" s="5"/>
    </row>
    <row r="521" spans="1:2" x14ac:dyDescent="0.25">
      <c r="A521" s="2"/>
      <c r="B521" s="5"/>
    </row>
    <row r="522" spans="1:2" x14ac:dyDescent="0.25">
      <c r="A522" s="2"/>
      <c r="B522" s="5"/>
    </row>
    <row r="523" spans="1:2" x14ac:dyDescent="0.25">
      <c r="A523" s="2"/>
      <c r="B523" s="5"/>
    </row>
    <row r="524" spans="1:2" x14ac:dyDescent="0.25">
      <c r="A524" s="2"/>
      <c r="B524" s="5"/>
    </row>
    <row r="525" spans="1:2" x14ac:dyDescent="0.25">
      <c r="A525" s="2"/>
      <c r="B525" s="5"/>
    </row>
    <row r="526" spans="1:2" x14ac:dyDescent="0.25">
      <c r="A526" s="2"/>
      <c r="B526" s="5"/>
    </row>
    <row r="527" spans="1:2" x14ac:dyDescent="0.25">
      <c r="A527" s="2"/>
      <c r="B527" s="5"/>
    </row>
    <row r="528" spans="1:2" x14ac:dyDescent="0.25">
      <c r="A528" s="2"/>
      <c r="B528" s="5"/>
    </row>
    <row r="529" spans="1:2" x14ac:dyDescent="0.25">
      <c r="A529" s="2"/>
      <c r="B529" s="5"/>
    </row>
    <row r="530" spans="1:2" x14ac:dyDescent="0.25">
      <c r="A530" s="2"/>
      <c r="B530" s="5"/>
    </row>
    <row r="531" spans="1:2" x14ac:dyDescent="0.25">
      <c r="A531" s="2"/>
      <c r="B531" s="5"/>
    </row>
    <row r="532" spans="1:2" x14ac:dyDescent="0.25">
      <c r="A532" s="2"/>
      <c r="B532" s="5"/>
    </row>
    <row r="533" spans="1:2" x14ac:dyDescent="0.25">
      <c r="A533" s="2"/>
      <c r="B533" s="5"/>
    </row>
    <row r="534" spans="1:2" x14ac:dyDescent="0.25">
      <c r="A534" s="2"/>
      <c r="B534" s="5"/>
    </row>
    <row r="535" spans="1:2" x14ac:dyDescent="0.25">
      <c r="A535" s="2"/>
      <c r="B535" s="5"/>
    </row>
    <row r="536" spans="1:2" x14ac:dyDescent="0.25">
      <c r="A536" s="2"/>
      <c r="B536" s="5"/>
    </row>
    <row r="537" spans="1:2" x14ac:dyDescent="0.25">
      <c r="A537" s="2"/>
      <c r="B537" s="5"/>
    </row>
    <row r="538" spans="1:2" x14ac:dyDescent="0.25">
      <c r="A538" s="2"/>
      <c r="B538" s="5"/>
    </row>
    <row r="539" spans="1:2" x14ac:dyDescent="0.25">
      <c r="A539" s="2"/>
      <c r="B539" s="5"/>
    </row>
    <row r="540" spans="1:2" x14ac:dyDescent="0.25">
      <c r="A540" s="2"/>
      <c r="B540" s="5"/>
    </row>
    <row r="541" spans="1:2" x14ac:dyDescent="0.25">
      <c r="A541" s="2"/>
      <c r="B541" s="5"/>
    </row>
    <row r="542" spans="1:2" x14ac:dyDescent="0.25">
      <c r="A542" s="2"/>
      <c r="B542" s="5"/>
    </row>
    <row r="543" spans="1:2" x14ac:dyDescent="0.25">
      <c r="A543" s="2"/>
      <c r="B543" s="5"/>
    </row>
    <row r="544" spans="1:2" x14ac:dyDescent="0.25">
      <c r="A544" s="2"/>
      <c r="B544" s="5"/>
    </row>
    <row r="545" spans="1:2" x14ac:dyDescent="0.25">
      <c r="A545" s="2"/>
      <c r="B545" s="5"/>
    </row>
    <row r="546" spans="1:2" x14ac:dyDescent="0.25">
      <c r="A546" s="2"/>
      <c r="B546" s="5"/>
    </row>
    <row r="547" spans="1:2" x14ac:dyDescent="0.25">
      <c r="A547" s="2"/>
      <c r="B547" s="5"/>
    </row>
    <row r="548" spans="1:2" x14ac:dyDescent="0.25">
      <c r="A548" s="2"/>
      <c r="B548" s="5"/>
    </row>
    <row r="549" spans="1:2" x14ac:dyDescent="0.25">
      <c r="A549" s="2"/>
      <c r="B549" s="5"/>
    </row>
    <row r="550" spans="1:2" x14ac:dyDescent="0.25">
      <c r="A550" s="2"/>
      <c r="B550" s="5"/>
    </row>
    <row r="551" spans="1:2" x14ac:dyDescent="0.25">
      <c r="A551" s="2"/>
      <c r="B551" s="5"/>
    </row>
    <row r="552" spans="1:2" x14ac:dyDescent="0.25">
      <c r="A552" s="2"/>
      <c r="B552" s="5"/>
    </row>
    <row r="553" spans="1:2" x14ac:dyDescent="0.25">
      <c r="A553" s="2"/>
      <c r="B553" s="5"/>
    </row>
    <row r="554" spans="1:2" x14ac:dyDescent="0.25">
      <c r="A554" s="2"/>
      <c r="B554" s="5"/>
    </row>
    <row r="555" spans="1:2" x14ac:dyDescent="0.25">
      <c r="A555" s="2"/>
      <c r="B555" s="5"/>
    </row>
    <row r="556" spans="1:2" x14ac:dyDescent="0.25">
      <c r="A556" s="2"/>
      <c r="B556" s="5"/>
    </row>
    <row r="557" spans="1:2" x14ac:dyDescent="0.25">
      <c r="A557" s="2"/>
      <c r="B557" s="5"/>
    </row>
    <row r="558" spans="1:2" x14ac:dyDescent="0.25">
      <c r="A558" s="2"/>
      <c r="B558" s="5"/>
    </row>
    <row r="559" spans="1:2" x14ac:dyDescent="0.25">
      <c r="A559" s="2"/>
      <c r="B559" s="5"/>
    </row>
    <row r="560" spans="1:2" x14ac:dyDescent="0.25">
      <c r="A560" s="2"/>
      <c r="B560" s="5"/>
    </row>
    <row r="561" spans="1:2" x14ac:dyDescent="0.25">
      <c r="A561" s="2"/>
      <c r="B561" s="5"/>
    </row>
    <row r="562" spans="1:2" x14ac:dyDescent="0.25">
      <c r="A562" s="2"/>
      <c r="B562" s="5"/>
    </row>
    <row r="563" spans="1:2" x14ac:dyDescent="0.25">
      <c r="A563" s="2"/>
      <c r="B563" s="5"/>
    </row>
    <row r="564" spans="1:2" x14ac:dyDescent="0.25">
      <c r="A564" s="2"/>
      <c r="B564" s="5"/>
    </row>
    <row r="565" spans="1:2" x14ac:dyDescent="0.25">
      <c r="A565" s="2"/>
      <c r="B565" s="5"/>
    </row>
    <row r="566" spans="1:2" x14ac:dyDescent="0.25">
      <c r="A566" s="2"/>
      <c r="B566" s="5"/>
    </row>
    <row r="567" spans="1:2" x14ac:dyDescent="0.25">
      <c r="A567" s="2"/>
      <c r="B567" s="5"/>
    </row>
    <row r="568" spans="1:2" x14ac:dyDescent="0.25">
      <c r="A568" s="2"/>
      <c r="B568" s="5"/>
    </row>
    <row r="569" spans="1:2" x14ac:dyDescent="0.25">
      <c r="A569" s="2"/>
      <c r="B569" s="5"/>
    </row>
    <row r="570" spans="1:2" x14ac:dyDescent="0.25">
      <c r="A570" s="2"/>
      <c r="B570" s="5"/>
    </row>
    <row r="571" spans="1:2" x14ac:dyDescent="0.25">
      <c r="A571" s="2"/>
      <c r="B571" s="5"/>
    </row>
    <row r="572" spans="1:2" x14ac:dyDescent="0.25">
      <c r="A572" s="2"/>
      <c r="B572" s="5"/>
    </row>
    <row r="573" spans="1:2" x14ac:dyDescent="0.25">
      <c r="A573" s="2"/>
      <c r="B573" s="5"/>
    </row>
    <row r="574" spans="1:2" x14ac:dyDescent="0.25">
      <c r="A574" s="2"/>
      <c r="B574" s="5"/>
    </row>
    <row r="575" spans="1:2" x14ac:dyDescent="0.25">
      <c r="A575" s="2"/>
      <c r="B575" s="5"/>
    </row>
    <row r="576" spans="1:2" x14ac:dyDescent="0.25">
      <c r="A576" s="2"/>
      <c r="B576" s="5"/>
    </row>
    <row r="577" spans="1:2" x14ac:dyDescent="0.25">
      <c r="A577" s="2"/>
      <c r="B577" s="5"/>
    </row>
    <row r="578" spans="1:2" x14ac:dyDescent="0.25">
      <c r="A578" s="2"/>
      <c r="B578" s="5"/>
    </row>
    <row r="579" spans="1:2" x14ac:dyDescent="0.25">
      <c r="A579" s="2"/>
      <c r="B579" s="5"/>
    </row>
    <row r="580" spans="1:2" x14ac:dyDescent="0.25">
      <c r="A580" s="2"/>
      <c r="B580" s="5"/>
    </row>
    <row r="581" spans="1:2" x14ac:dyDescent="0.25">
      <c r="A581" s="2"/>
      <c r="B581" s="5"/>
    </row>
    <row r="582" spans="1:2" x14ac:dyDescent="0.25">
      <c r="A582" s="2"/>
      <c r="B582" s="5"/>
    </row>
    <row r="583" spans="1:2" x14ac:dyDescent="0.25">
      <c r="A583" s="2"/>
      <c r="B583" s="5"/>
    </row>
    <row r="584" spans="1:2" x14ac:dyDescent="0.25">
      <c r="A584" s="2"/>
      <c r="B584" s="5"/>
    </row>
    <row r="585" spans="1:2" x14ac:dyDescent="0.25">
      <c r="A585" s="2"/>
      <c r="B585" s="5"/>
    </row>
    <row r="586" spans="1:2" x14ac:dyDescent="0.25">
      <c r="A586" s="2"/>
      <c r="B586" s="5"/>
    </row>
    <row r="587" spans="1:2" x14ac:dyDescent="0.25">
      <c r="A587" s="2"/>
      <c r="B587" s="5"/>
    </row>
    <row r="588" spans="1:2" x14ac:dyDescent="0.25">
      <c r="A588" s="2"/>
      <c r="B588" s="5"/>
    </row>
    <row r="589" spans="1:2" x14ac:dyDescent="0.25">
      <c r="A589" s="2"/>
      <c r="B589" s="5"/>
    </row>
    <row r="590" spans="1:2" x14ac:dyDescent="0.25">
      <c r="A590" s="2"/>
      <c r="B590" s="5"/>
    </row>
    <row r="591" spans="1:2" x14ac:dyDescent="0.25">
      <c r="A591" s="2"/>
      <c r="B591" s="5"/>
    </row>
    <row r="592" spans="1:2" x14ac:dyDescent="0.25">
      <c r="A592" s="2"/>
      <c r="B592" s="5"/>
    </row>
    <row r="593" spans="1:2" x14ac:dyDescent="0.25">
      <c r="A593" s="2"/>
      <c r="B593" s="5"/>
    </row>
    <row r="594" spans="1:2" x14ac:dyDescent="0.25">
      <c r="A594" s="2"/>
      <c r="B594" s="5"/>
    </row>
    <row r="595" spans="1:2" x14ac:dyDescent="0.25">
      <c r="A595" s="2"/>
      <c r="B595" s="5"/>
    </row>
    <row r="596" spans="1:2" x14ac:dyDescent="0.25">
      <c r="A596" s="2"/>
      <c r="B596" s="5"/>
    </row>
    <row r="597" spans="1:2" x14ac:dyDescent="0.25">
      <c r="A597" s="2"/>
      <c r="B597" s="5"/>
    </row>
    <row r="598" spans="1:2" x14ac:dyDescent="0.25">
      <c r="A598" s="2"/>
      <c r="B598" s="5"/>
    </row>
    <row r="599" spans="1:2" x14ac:dyDescent="0.25">
      <c r="A599" s="2"/>
      <c r="B599" s="5"/>
    </row>
    <row r="600" spans="1:2" x14ac:dyDescent="0.25">
      <c r="A600" s="2"/>
      <c r="B600" s="5"/>
    </row>
    <row r="601" spans="1:2" x14ac:dyDescent="0.25">
      <c r="A601" s="2"/>
      <c r="B601" s="5"/>
    </row>
    <row r="602" spans="1:2" x14ac:dyDescent="0.25">
      <c r="A602" s="2"/>
      <c r="B602" s="5"/>
    </row>
    <row r="603" spans="1:2" x14ac:dyDescent="0.25">
      <c r="A603" s="2"/>
      <c r="B603" s="5"/>
    </row>
    <row r="604" spans="1:2" x14ac:dyDescent="0.25">
      <c r="A604" s="2"/>
      <c r="B604" s="5"/>
    </row>
    <row r="605" spans="1:2" x14ac:dyDescent="0.25">
      <c r="A605" s="2"/>
      <c r="B605" s="5"/>
    </row>
    <row r="606" spans="1:2" x14ac:dyDescent="0.25">
      <c r="A606" s="2"/>
      <c r="B606" s="5"/>
    </row>
    <row r="607" spans="1:2" x14ac:dyDescent="0.25">
      <c r="A607" s="2"/>
      <c r="B607" s="5"/>
    </row>
    <row r="608" spans="1:2" x14ac:dyDescent="0.25">
      <c r="A608" s="2"/>
      <c r="B608" s="5"/>
    </row>
    <row r="609" spans="1:2" x14ac:dyDescent="0.25">
      <c r="A609" s="2"/>
      <c r="B609" s="5"/>
    </row>
    <row r="610" spans="1:2" x14ac:dyDescent="0.25">
      <c r="A610" s="2"/>
      <c r="B610" s="5"/>
    </row>
    <row r="611" spans="1:2" x14ac:dyDescent="0.25">
      <c r="A611" s="2"/>
      <c r="B611" s="5"/>
    </row>
    <row r="612" spans="1:2" x14ac:dyDescent="0.25">
      <c r="A612" s="2"/>
      <c r="B612" s="5"/>
    </row>
    <row r="613" spans="1:2" x14ac:dyDescent="0.25">
      <c r="A613" s="2"/>
      <c r="B613" s="5"/>
    </row>
    <row r="614" spans="1:2" x14ac:dyDescent="0.25">
      <c r="A614" s="2"/>
      <c r="B614" s="5"/>
    </row>
    <row r="615" spans="1:2" x14ac:dyDescent="0.25">
      <c r="A615" s="2"/>
      <c r="B615" s="5"/>
    </row>
    <row r="616" spans="1:2" x14ac:dyDescent="0.25">
      <c r="A616" s="2"/>
      <c r="B616" s="5"/>
    </row>
    <row r="617" spans="1:2" x14ac:dyDescent="0.25">
      <c r="A617" s="2"/>
      <c r="B617" s="5"/>
    </row>
    <row r="618" spans="1:2" x14ac:dyDescent="0.25">
      <c r="A618" s="2"/>
      <c r="B618" s="5"/>
    </row>
    <row r="619" spans="1:2" x14ac:dyDescent="0.25">
      <c r="A619" s="2"/>
      <c r="B619" s="5"/>
    </row>
    <row r="620" spans="1:2" x14ac:dyDescent="0.25">
      <c r="A620" s="2"/>
      <c r="B620" s="5"/>
    </row>
    <row r="621" spans="1:2" x14ac:dyDescent="0.25">
      <c r="A621" s="2"/>
      <c r="B621" s="5"/>
    </row>
    <row r="622" spans="1:2" x14ac:dyDescent="0.25">
      <c r="A622" s="2"/>
      <c r="B622" s="5"/>
    </row>
    <row r="623" spans="1:2" x14ac:dyDescent="0.25">
      <c r="A623" s="2"/>
      <c r="B623" s="5"/>
    </row>
    <row r="624" spans="1:2" x14ac:dyDescent="0.25">
      <c r="A624" s="2"/>
      <c r="B624" s="5"/>
    </row>
    <row r="625" spans="1:2" x14ac:dyDescent="0.25">
      <c r="A625" s="2"/>
      <c r="B625" s="5"/>
    </row>
    <row r="626" spans="1:2" x14ac:dyDescent="0.25">
      <c r="A626" s="2"/>
      <c r="B626" s="5"/>
    </row>
    <row r="627" spans="1:2" x14ac:dyDescent="0.25">
      <c r="A627" s="2"/>
      <c r="B627" s="5"/>
    </row>
    <row r="628" spans="1:2" x14ac:dyDescent="0.25">
      <c r="A628" s="2"/>
      <c r="B628" s="5"/>
    </row>
    <row r="629" spans="1:2" x14ac:dyDescent="0.25">
      <c r="A629" s="2"/>
      <c r="B629" s="5"/>
    </row>
    <row r="630" spans="1:2" x14ac:dyDescent="0.25">
      <c r="A630" s="2"/>
      <c r="B630" s="5"/>
    </row>
    <row r="631" spans="1:2" x14ac:dyDescent="0.25">
      <c r="A631" s="2"/>
      <c r="B631" s="5"/>
    </row>
    <row r="632" spans="1:2" x14ac:dyDescent="0.25">
      <c r="A632" s="2"/>
      <c r="B632" s="5"/>
    </row>
    <row r="633" spans="1:2" x14ac:dyDescent="0.25">
      <c r="A633" s="2"/>
      <c r="B633" s="5"/>
    </row>
    <row r="634" spans="1:2" x14ac:dyDescent="0.25">
      <c r="A634" s="2"/>
      <c r="B634" s="5"/>
    </row>
    <row r="635" spans="1:2" x14ac:dyDescent="0.25">
      <c r="A635" s="2"/>
      <c r="B635" s="5"/>
    </row>
    <row r="636" spans="1:2" x14ac:dyDescent="0.25">
      <c r="A636" s="2"/>
      <c r="B636" s="5"/>
    </row>
    <row r="637" spans="1:2" x14ac:dyDescent="0.25">
      <c r="A637" s="2"/>
      <c r="B637" s="5"/>
    </row>
    <row r="638" spans="1:2" x14ac:dyDescent="0.25">
      <c r="A638" s="2"/>
      <c r="B638" s="5"/>
    </row>
    <row r="639" spans="1:2" x14ac:dyDescent="0.25">
      <c r="A639" s="2"/>
      <c r="B639" s="5"/>
    </row>
    <row r="640" spans="1:2" x14ac:dyDescent="0.25">
      <c r="A640" s="2"/>
      <c r="B640" s="5"/>
    </row>
    <row r="641" spans="1:2" x14ac:dyDescent="0.25">
      <c r="A641" s="2"/>
      <c r="B641" s="5"/>
    </row>
    <row r="642" spans="1:2" x14ac:dyDescent="0.25">
      <c r="A642" s="2"/>
      <c r="B642" s="5"/>
    </row>
    <row r="643" spans="1:2" x14ac:dyDescent="0.25">
      <c r="A643" s="2"/>
      <c r="B643" s="5"/>
    </row>
    <row r="644" spans="1:2" x14ac:dyDescent="0.25">
      <c r="A644" s="2"/>
      <c r="B644" s="5"/>
    </row>
    <row r="645" spans="1:2" x14ac:dyDescent="0.25">
      <c r="A645" s="2"/>
      <c r="B645" s="5"/>
    </row>
    <row r="646" spans="1:2" x14ac:dyDescent="0.25">
      <c r="A646" s="2"/>
      <c r="B646" s="5"/>
    </row>
    <row r="647" spans="1:2" x14ac:dyDescent="0.25">
      <c r="A647" s="2"/>
      <c r="B647" s="5"/>
    </row>
    <row r="648" spans="1:2" x14ac:dyDescent="0.25">
      <c r="A648" s="2"/>
      <c r="B648" s="5"/>
    </row>
    <row r="649" spans="1:2" x14ac:dyDescent="0.25">
      <c r="A649" s="2"/>
      <c r="B649" s="5"/>
    </row>
    <row r="650" spans="1:2" x14ac:dyDescent="0.25">
      <c r="A650" s="2"/>
      <c r="B650" s="5"/>
    </row>
    <row r="651" spans="1:2" x14ac:dyDescent="0.25">
      <c r="A651" s="2"/>
      <c r="B651" s="5"/>
    </row>
    <row r="652" spans="1:2" x14ac:dyDescent="0.25">
      <c r="A652" s="2"/>
      <c r="B652" s="5"/>
    </row>
    <row r="653" spans="1:2" x14ac:dyDescent="0.25">
      <c r="A653" s="2"/>
      <c r="B653" s="5"/>
    </row>
    <row r="654" spans="1:2" x14ac:dyDescent="0.25">
      <c r="A654" s="2"/>
      <c r="B654" s="5"/>
    </row>
    <row r="655" spans="1:2" x14ac:dyDescent="0.25">
      <c r="A655" s="2"/>
      <c r="B655" s="5"/>
    </row>
    <row r="656" spans="1:2" x14ac:dyDescent="0.25">
      <c r="A656" s="2"/>
      <c r="B656" s="5"/>
    </row>
    <row r="657" spans="1:2" x14ac:dyDescent="0.25">
      <c r="A657" s="2"/>
      <c r="B657" s="5"/>
    </row>
    <row r="658" spans="1:2" x14ac:dyDescent="0.25">
      <c r="A658" s="2"/>
      <c r="B658" s="5"/>
    </row>
    <row r="659" spans="1:2" x14ac:dyDescent="0.25">
      <c r="A659" s="2"/>
      <c r="B659" s="5"/>
    </row>
    <row r="660" spans="1:2" x14ac:dyDescent="0.25">
      <c r="A660" s="2"/>
      <c r="B660" s="5"/>
    </row>
    <row r="661" spans="1:2" x14ac:dyDescent="0.25">
      <c r="A661" s="2"/>
      <c r="B661" s="5"/>
    </row>
    <row r="662" spans="1:2" x14ac:dyDescent="0.25">
      <c r="A662" s="2"/>
      <c r="B662" s="5"/>
    </row>
    <row r="663" spans="1:2" x14ac:dyDescent="0.25">
      <c r="A663" s="2"/>
      <c r="B663" s="5"/>
    </row>
    <row r="664" spans="1:2" x14ac:dyDescent="0.25">
      <c r="A664" s="2"/>
      <c r="B664" s="5"/>
    </row>
    <row r="665" spans="1:2" x14ac:dyDescent="0.25">
      <c r="A665" s="2"/>
      <c r="B665" s="5"/>
    </row>
    <row r="666" spans="1:2" x14ac:dyDescent="0.25">
      <c r="A666" s="2"/>
      <c r="B666" s="5"/>
    </row>
    <row r="667" spans="1:2" x14ac:dyDescent="0.25">
      <c r="A667" s="2"/>
      <c r="B667" s="5"/>
    </row>
    <row r="668" spans="1:2" x14ac:dyDescent="0.25">
      <c r="A668" s="2"/>
      <c r="B668" s="5"/>
    </row>
    <row r="669" spans="1:2" x14ac:dyDescent="0.25">
      <c r="A669" s="2"/>
      <c r="B669" s="5"/>
    </row>
    <row r="670" spans="1:2" x14ac:dyDescent="0.25">
      <c r="A670" s="2"/>
      <c r="B670" s="5"/>
    </row>
    <row r="671" spans="1:2" x14ac:dyDescent="0.25">
      <c r="A671" s="2"/>
      <c r="B671" s="5"/>
    </row>
    <row r="672" spans="1:2" x14ac:dyDescent="0.25">
      <c r="A672" s="2"/>
      <c r="B672" s="5"/>
    </row>
    <row r="673" spans="1:2" x14ac:dyDescent="0.25">
      <c r="A673" s="2"/>
      <c r="B673" s="5"/>
    </row>
    <row r="674" spans="1:2" x14ac:dyDescent="0.25">
      <c r="A674" s="2"/>
      <c r="B674" s="5"/>
    </row>
    <row r="675" spans="1:2" x14ac:dyDescent="0.25">
      <c r="A675" s="2"/>
      <c r="B675" s="5"/>
    </row>
    <row r="676" spans="1:2" x14ac:dyDescent="0.25">
      <c r="A676" s="2"/>
      <c r="B676" s="5"/>
    </row>
    <row r="677" spans="1:2" x14ac:dyDescent="0.25">
      <c r="A677" s="2"/>
      <c r="B677" s="5"/>
    </row>
    <row r="678" spans="1:2" x14ac:dyDescent="0.25">
      <c r="A678" s="2"/>
      <c r="B678" s="5"/>
    </row>
    <row r="679" spans="1:2" x14ac:dyDescent="0.25">
      <c r="A679" s="2"/>
      <c r="B679" s="5"/>
    </row>
    <row r="680" spans="1:2" x14ac:dyDescent="0.25">
      <c r="A680" s="2"/>
      <c r="B680" s="5"/>
    </row>
    <row r="681" spans="1:2" x14ac:dyDescent="0.25">
      <c r="A681" s="2"/>
      <c r="B681" s="5"/>
    </row>
    <row r="682" spans="1:2" x14ac:dyDescent="0.25">
      <c r="A682" s="2"/>
      <c r="B682" s="5"/>
    </row>
    <row r="683" spans="1:2" x14ac:dyDescent="0.25">
      <c r="A683" s="2"/>
      <c r="B683" s="5"/>
    </row>
    <row r="684" spans="1:2" x14ac:dyDescent="0.25">
      <c r="A684" s="2"/>
      <c r="B684" s="5"/>
    </row>
    <row r="685" spans="1:2" x14ac:dyDescent="0.25">
      <c r="A685" s="2"/>
      <c r="B685" s="5"/>
    </row>
    <row r="686" spans="1:2" x14ac:dyDescent="0.25">
      <c r="A686" s="2"/>
      <c r="B686" s="5"/>
    </row>
    <row r="687" spans="1:2" x14ac:dyDescent="0.25">
      <c r="A687" s="2"/>
      <c r="B687" s="5"/>
    </row>
    <row r="688" spans="1:2" x14ac:dyDescent="0.25">
      <c r="A688" s="2"/>
      <c r="B688" s="5"/>
    </row>
    <row r="689" spans="1:2" x14ac:dyDescent="0.25">
      <c r="A689" s="2"/>
      <c r="B689" s="5"/>
    </row>
    <row r="690" spans="1:2" x14ac:dyDescent="0.25">
      <c r="A690" s="2"/>
      <c r="B690" s="5"/>
    </row>
    <row r="691" spans="1:2" x14ac:dyDescent="0.25">
      <c r="A691" s="2"/>
      <c r="B691" s="5"/>
    </row>
    <row r="692" spans="1:2" x14ac:dyDescent="0.25">
      <c r="A692" s="2"/>
      <c r="B692" s="5"/>
    </row>
    <row r="693" spans="1:2" x14ac:dyDescent="0.25">
      <c r="A693" s="2"/>
      <c r="B693" s="5"/>
    </row>
    <row r="694" spans="1:2" x14ac:dyDescent="0.25">
      <c r="A694" s="2"/>
      <c r="B694" s="5"/>
    </row>
    <row r="695" spans="1:2" x14ac:dyDescent="0.25">
      <c r="A695" s="2"/>
      <c r="B695" s="5"/>
    </row>
    <row r="696" spans="1:2" x14ac:dyDescent="0.25">
      <c r="A696" s="2"/>
      <c r="B696" s="5"/>
    </row>
    <row r="697" spans="1:2" x14ac:dyDescent="0.25">
      <c r="A697" s="2"/>
      <c r="B697" s="5"/>
    </row>
    <row r="698" spans="1:2" x14ac:dyDescent="0.25">
      <c r="A698" s="2"/>
      <c r="B698" s="5"/>
    </row>
    <row r="699" spans="1:2" x14ac:dyDescent="0.25">
      <c r="A699" s="2"/>
      <c r="B699" s="5"/>
    </row>
    <row r="700" spans="1:2" x14ac:dyDescent="0.25">
      <c r="A700" s="2"/>
      <c r="B700" s="5"/>
    </row>
    <row r="701" spans="1:2" x14ac:dyDescent="0.25">
      <c r="A701" s="2"/>
      <c r="B701" s="5"/>
    </row>
    <row r="702" spans="1:2" x14ac:dyDescent="0.25">
      <c r="A702" s="2"/>
      <c r="B702" s="5"/>
    </row>
    <row r="703" spans="1:2" x14ac:dyDescent="0.25">
      <c r="A703" s="2"/>
      <c r="B703" s="5"/>
    </row>
    <row r="704" spans="1:2" x14ac:dyDescent="0.25">
      <c r="A704" s="2"/>
      <c r="B704" s="5"/>
    </row>
    <row r="705" spans="1:2" x14ac:dyDescent="0.25">
      <c r="A705" s="2"/>
      <c r="B705" s="5"/>
    </row>
    <row r="706" spans="1:2" x14ac:dyDescent="0.25">
      <c r="A706" s="2"/>
      <c r="B706" s="5"/>
    </row>
    <row r="707" spans="1:2" x14ac:dyDescent="0.25">
      <c r="A707" s="2"/>
      <c r="B707" s="5"/>
    </row>
    <row r="708" spans="1:2" x14ac:dyDescent="0.25">
      <c r="A708" s="2"/>
      <c r="B708" s="5"/>
    </row>
    <row r="709" spans="1:2" x14ac:dyDescent="0.25">
      <c r="A709" s="2"/>
      <c r="B709" s="5"/>
    </row>
    <row r="710" spans="1:2" x14ac:dyDescent="0.25">
      <c r="A710" s="2"/>
      <c r="B710" s="5"/>
    </row>
    <row r="711" spans="1:2" x14ac:dyDescent="0.25">
      <c r="A711" s="2"/>
      <c r="B711" s="5"/>
    </row>
    <row r="712" spans="1:2" x14ac:dyDescent="0.25">
      <c r="A712" s="2"/>
      <c r="B712" s="5"/>
    </row>
    <row r="713" spans="1:2" x14ac:dyDescent="0.25">
      <c r="A713" s="2"/>
      <c r="B713" s="5"/>
    </row>
    <row r="714" spans="1:2" x14ac:dyDescent="0.25">
      <c r="A714" s="2"/>
      <c r="B714" s="5"/>
    </row>
    <row r="715" spans="1:2" x14ac:dyDescent="0.25">
      <c r="A715" s="2"/>
      <c r="B715" s="5"/>
    </row>
    <row r="716" spans="1:2" x14ac:dyDescent="0.25">
      <c r="A716" s="2"/>
      <c r="B716" s="5"/>
    </row>
    <row r="717" spans="1:2" x14ac:dyDescent="0.25">
      <c r="A717" s="2"/>
      <c r="B717" s="5"/>
    </row>
    <row r="718" spans="1:2" x14ac:dyDescent="0.25">
      <c r="A718" s="2"/>
      <c r="B718" s="5"/>
    </row>
    <row r="719" spans="1:2" x14ac:dyDescent="0.25">
      <c r="A719" s="2"/>
      <c r="B719" s="5"/>
    </row>
    <row r="720" spans="1:2" x14ac:dyDescent="0.25">
      <c r="A720" s="2"/>
      <c r="B720" s="5"/>
    </row>
    <row r="721" spans="1:2" x14ac:dyDescent="0.25">
      <c r="A721" s="2"/>
      <c r="B721" s="5"/>
    </row>
    <row r="722" spans="1:2" x14ac:dyDescent="0.25">
      <c r="A722" s="2"/>
      <c r="B722" s="5"/>
    </row>
    <row r="723" spans="1:2" x14ac:dyDescent="0.25">
      <c r="A723" s="2"/>
      <c r="B723" s="5"/>
    </row>
    <row r="724" spans="1:2" x14ac:dyDescent="0.25">
      <c r="A724" s="2"/>
      <c r="B724" s="5"/>
    </row>
    <row r="725" spans="1:2" x14ac:dyDescent="0.25">
      <c r="A725" s="2"/>
      <c r="B725" s="5"/>
    </row>
    <row r="726" spans="1:2" x14ac:dyDescent="0.25">
      <c r="A726" s="2"/>
      <c r="B726" s="5"/>
    </row>
    <row r="727" spans="1:2" x14ac:dyDescent="0.25">
      <c r="A727" s="2"/>
      <c r="B727" s="5"/>
    </row>
    <row r="728" spans="1:2" x14ac:dyDescent="0.25">
      <c r="A728" s="2"/>
      <c r="B728" s="5"/>
    </row>
    <row r="729" spans="1:2" x14ac:dyDescent="0.25">
      <c r="A729" s="2"/>
      <c r="B729" s="5"/>
    </row>
    <row r="730" spans="1:2" x14ac:dyDescent="0.25">
      <c r="A730" s="2"/>
      <c r="B730" s="5"/>
    </row>
    <row r="731" spans="1:2" x14ac:dyDescent="0.25">
      <c r="A731" s="2"/>
      <c r="B731" s="5"/>
    </row>
    <row r="732" spans="1:2" x14ac:dyDescent="0.25">
      <c r="A732" s="2"/>
      <c r="B732" s="5"/>
    </row>
    <row r="733" spans="1:2" x14ac:dyDescent="0.25">
      <c r="A733" s="2"/>
      <c r="B733" s="5"/>
    </row>
    <row r="734" spans="1:2" x14ac:dyDescent="0.25">
      <c r="A734" s="2"/>
      <c r="B734" s="5"/>
    </row>
    <row r="735" spans="1:2" x14ac:dyDescent="0.25">
      <c r="A735" s="2"/>
      <c r="B735" s="5"/>
    </row>
    <row r="736" spans="1:2" x14ac:dyDescent="0.25">
      <c r="A736" s="2"/>
      <c r="B736" s="5"/>
    </row>
    <row r="737" spans="1:2" x14ac:dyDescent="0.25">
      <c r="A737" s="2"/>
      <c r="B737" s="5"/>
    </row>
    <row r="738" spans="1:2" x14ac:dyDescent="0.25">
      <c r="A738" s="2"/>
      <c r="B738" s="5"/>
    </row>
    <row r="739" spans="1:2" x14ac:dyDescent="0.25">
      <c r="A739" s="2"/>
      <c r="B739" s="5"/>
    </row>
    <row r="740" spans="1:2" x14ac:dyDescent="0.25">
      <c r="A740" s="2"/>
      <c r="B740" s="5"/>
    </row>
    <row r="741" spans="1:2" x14ac:dyDescent="0.25">
      <c r="A741" s="2"/>
      <c r="B741" s="5"/>
    </row>
    <row r="742" spans="1:2" x14ac:dyDescent="0.25">
      <c r="A742" s="2"/>
      <c r="B742" s="5"/>
    </row>
    <row r="743" spans="1:2" x14ac:dyDescent="0.25">
      <c r="A743" s="2"/>
      <c r="B743" s="5"/>
    </row>
    <row r="744" spans="1:2" x14ac:dyDescent="0.25">
      <c r="A744" s="2"/>
      <c r="B744" s="5"/>
    </row>
    <row r="745" spans="1:2" x14ac:dyDescent="0.25">
      <c r="A745" s="2"/>
      <c r="B745" s="5"/>
    </row>
    <row r="746" spans="1:2" x14ac:dyDescent="0.25">
      <c r="A746" s="2"/>
      <c r="B746" s="5"/>
    </row>
    <row r="747" spans="1:2" x14ac:dyDescent="0.25">
      <c r="A747" s="2"/>
      <c r="B747" s="5"/>
    </row>
    <row r="748" spans="1:2" x14ac:dyDescent="0.25">
      <c r="A748" s="2"/>
      <c r="B748" s="5"/>
    </row>
    <row r="749" spans="1:2" x14ac:dyDescent="0.25">
      <c r="A749" s="2"/>
      <c r="B749" s="5"/>
    </row>
    <row r="750" spans="1:2" x14ac:dyDescent="0.25">
      <c r="A750" s="2"/>
      <c r="B750" s="5"/>
    </row>
    <row r="751" spans="1:2" x14ac:dyDescent="0.25">
      <c r="A751" s="2"/>
      <c r="B751" s="5"/>
    </row>
    <row r="752" spans="1:2" x14ac:dyDescent="0.25">
      <c r="A752" s="2"/>
      <c r="B752" s="5"/>
    </row>
    <row r="753" spans="1:2" x14ac:dyDescent="0.25">
      <c r="A753" s="2"/>
      <c r="B753" s="5"/>
    </row>
    <row r="754" spans="1:2" x14ac:dyDescent="0.25">
      <c r="A754" s="2"/>
      <c r="B754" s="5"/>
    </row>
    <row r="755" spans="1:2" x14ac:dyDescent="0.25">
      <c r="A755" s="2"/>
      <c r="B755" s="5"/>
    </row>
    <row r="756" spans="1:2" x14ac:dyDescent="0.25">
      <c r="A756" s="2"/>
      <c r="B756" s="5"/>
    </row>
    <row r="757" spans="1:2" x14ac:dyDescent="0.25">
      <c r="A757" s="2"/>
      <c r="B757" s="5"/>
    </row>
    <row r="758" spans="1:2" x14ac:dyDescent="0.25">
      <c r="A758" s="2"/>
      <c r="B758" s="5"/>
    </row>
    <row r="759" spans="1:2" x14ac:dyDescent="0.25">
      <c r="A759" s="2"/>
      <c r="B759" s="5"/>
    </row>
    <row r="760" spans="1:2" x14ac:dyDescent="0.25">
      <c r="A760" s="2"/>
      <c r="B760" s="5"/>
    </row>
    <row r="761" spans="1:2" x14ac:dyDescent="0.25">
      <c r="A761" s="2"/>
      <c r="B761" s="5"/>
    </row>
    <row r="762" spans="1:2" x14ac:dyDescent="0.25">
      <c r="A762" s="2"/>
      <c r="B762" s="5"/>
    </row>
    <row r="763" spans="1:2" x14ac:dyDescent="0.25">
      <c r="A763" s="2"/>
      <c r="B763" s="5"/>
    </row>
    <row r="764" spans="1:2" x14ac:dyDescent="0.25">
      <c r="A764" s="2"/>
      <c r="B764" s="5"/>
    </row>
    <row r="765" spans="1:2" x14ac:dyDescent="0.25">
      <c r="A765" s="2"/>
      <c r="B765" s="5"/>
    </row>
    <row r="766" spans="1:2" x14ac:dyDescent="0.25">
      <c r="A766" s="2"/>
      <c r="B766" s="5"/>
    </row>
    <row r="767" spans="1:2" x14ac:dyDescent="0.25">
      <c r="A767" s="2"/>
      <c r="B767" s="5"/>
    </row>
    <row r="768" spans="1:2" x14ac:dyDescent="0.25">
      <c r="A768" s="2"/>
      <c r="B768" s="5"/>
    </row>
    <row r="769" spans="1:2" x14ac:dyDescent="0.25">
      <c r="A769" s="2"/>
      <c r="B769" s="5"/>
    </row>
    <row r="770" spans="1:2" x14ac:dyDescent="0.25">
      <c r="A770" s="2"/>
      <c r="B770" s="5"/>
    </row>
    <row r="771" spans="1:2" x14ac:dyDescent="0.25">
      <c r="A771" s="2"/>
      <c r="B771" s="5"/>
    </row>
    <row r="772" spans="1:2" x14ac:dyDescent="0.25">
      <c r="A772" s="2"/>
      <c r="B772" s="5"/>
    </row>
    <row r="773" spans="1:2" x14ac:dyDescent="0.25">
      <c r="A773" s="2"/>
      <c r="B773" s="5"/>
    </row>
    <row r="774" spans="1:2" x14ac:dyDescent="0.25">
      <c r="A774" s="2"/>
      <c r="B774" s="5"/>
    </row>
    <row r="775" spans="1:2" x14ac:dyDescent="0.25">
      <c r="A775" s="2"/>
      <c r="B775" s="5"/>
    </row>
    <row r="776" spans="1:2" x14ac:dyDescent="0.25">
      <c r="A776" s="2"/>
      <c r="B776" s="5"/>
    </row>
    <row r="777" spans="1:2" x14ac:dyDescent="0.25">
      <c r="A777" s="2"/>
      <c r="B777" s="5"/>
    </row>
    <row r="778" spans="1:2" x14ac:dyDescent="0.25">
      <c r="A778" s="2"/>
      <c r="B778" s="5"/>
    </row>
    <row r="779" spans="1:2" x14ac:dyDescent="0.25">
      <c r="A779" s="2"/>
      <c r="B779" s="5"/>
    </row>
    <row r="780" spans="1:2" x14ac:dyDescent="0.25">
      <c r="A780" s="2"/>
      <c r="B780" s="5"/>
    </row>
    <row r="781" spans="1:2" x14ac:dyDescent="0.25">
      <c r="A781" s="2"/>
      <c r="B781" s="5"/>
    </row>
    <row r="782" spans="1:2" x14ac:dyDescent="0.25">
      <c r="A782" s="2"/>
      <c r="B782" s="5"/>
    </row>
    <row r="783" spans="1:2" x14ac:dyDescent="0.25">
      <c r="A783" s="2"/>
      <c r="B783" s="5"/>
    </row>
    <row r="784" spans="1:2" x14ac:dyDescent="0.25">
      <c r="A784" s="2"/>
      <c r="B784" s="5"/>
    </row>
    <row r="785" spans="1:2" x14ac:dyDescent="0.25">
      <c r="A785" s="2"/>
      <c r="B785" s="5"/>
    </row>
    <row r="786" spans="1:2" x14ac:dyDescent="0.25">
      <c r="A786" s="2"/>
      <c r="B786" s="5"/>
    </row>
    <row r="787" spans="1:2" x14ac:dyDescent="0.25">
      <c r="A787" s="2"/>
      <c r="B787" s="5"/>
    </row>
    <row r="788" spans="1:2" x14ac:dyDescent="0.25">
      <c r="A788" s="2"/>
      <c r="B788" s="5"/>
    </row>
    <row r="789" spans="1:2" x14ac:dyDescent="0.25">
      <c r="A789" s="2"/>
      <c r="B789" s="5"/>
    </row>
    <row r="790" spans="1:2" x14ac:dyDescent="0.25">
      <c r="A790" s="2"/>
      <c r="B790" s="5"/>
    </row>
    <row r="791" spans="1:2" x14ac:dyDescent="0.25">
      <c r="A791" s="2"/>
      <c r="B791" s="5"/>
    </row>
    <row r="792" spans="1:2" x14ac:dyDescent="0.25">
      <c r="A792" s="2"/>
      <c r="B792" s="5"/>
    </row>
    <row r="793" spans="1:2" x14ac:dyDescent="0.25">
      <c r="A793" s="2"/>
      <c r="B793" s="5"/>
    </row>
    <row r="794" spans="1:2" x14ac:dyDescent="0.25">
      <c r="A794" s="2"/>
      <c r="B794" s="5"/>
    </row>
    <row r="795" spans="1:2" x14ac:dyDescent="0.25">
      <c r="A795" s="2"/>
      <c r="B795" s="5"/>
    </row>
    <row r="796" spans="1:2" x14ac:dyDescent="0.25">
      <c r="A796" s="2"/>
      <c r="B796" s="5"/>
    </row>
    <row r="797" spans="1:2" x14ac:dyDescent="0.25">
      <c r="A797" s="2"/>
      <c r="B797" s="5"/>
    </row>
    <row r="798" spans="1:2" x14ac:dyDescent="0.25">
      <c r="A798" s="2"/>
      <c r="B798" s="5"/>
    </row>
    <row r="799" spans="1:2" x14ac:dyDescent="0.25">
      <c r="A799" s="2"/>
      <c r="B799" s="5"/>
    </row>
    <row r="800" spans="1:2" x14ac:dyDescent="0.25">
      <c r="A800" s="2"/>
      <c r="B800" s="5"/>
    </row>
    <row r="801" spans="1:2" x14ac:dyDescent="0.25">
      <c r="A801" s="2"/>
      <c r="B801" s="5"/>
    </row>
    <row r="802" spans="1:2" x14ac:dyDescent="0.25">
      <c r="A802" s="2"/>
      <c r="B802" s="5"/>
    </row>
    <row r="803" spans="1:2" x14ac:dyDescent="0.25">
      <c r="A803" s="2"/>
      <c r="B803" s="5"/>
    </row>
    <row r="804" spans="1:2" x14ac:dyDescent="0.25">
      <c r="A804" s="2"/>
      <c r="B804" s="5"/>
    </row>
    <row r="805" spans="1:2" x14ac:dyDescent="0.25">
      <c r="A805" s="2"/>
      <c r="B805" s="5"/>
    </row>
    <row r="806" spans="1:2" x14ac:dyDescent="0.25">
      <c r="A806" s="2"/>
      <c r="B806" s="5"/>
    </row>
    <row r="807" spans="1:2" x14ac:dyDescent="0.25">
      <c r="A807" s="2"/>
      <c r="B807" s="5"/>
    </row>
    <row r="808" spans="1:2" x14ac:dyDescent="0.25">
      <c r="A808" s="2"/>
      <c r="B808" s="5"/>
    </row>
    <row r="809" spans="1:2" x14ac:dyDescent="0.25">
      <c r="A809" s="2"/>
      <c r="B809" s="5"/>
    </row>
    <row r="810" spans="1:2" x14ac:dyDescent="0.25">
      <c r="A810" s="2"/>
      <c r="B810" s="5"/>
    </row>
    <row r="811" spans="1:2" x14ac:dyDescent="0.25">
      <c r="A811" s="2"/>
      <c r="B811" s="5"/>
    </row>
    <row r="812" spans="1:2" x14ac:dyDescent="0.25">
      <c r="A812" s="2"/>
      <c r="B812" s="5"/>
    </row>
    <row r="813" spans="1:2" x14ac:dyDescent="0.25">
      <c r="A813" s="2"/>
      <c r="B813" s="5"/>
    </row>
    <row r="814" spans="1:2" x14ac:dyDescent="0.25">
      <c r="A814" s="2"/>
      <c r="B814" s="5"/>
    </row>
    <row r="815" spans="1:2" x14ac:dyDescent="0.25">
      <c r="A815" s="2"/>
      <c r="B815" s="5"/>
    </row>
    <row r="816" spans="1:2" x14ac:dyDescent="0.25">
      <c r="A816" s="2"/>
      <c r="B816" s="5"/>
    </row>
    <row r="817" spans="1:2" x14ac:dyDescent="0.25">
      <c r="A817" s="2"/>
      <c r="B817" s="5"/>
    </row>
    <row r="818" spans="1:2" x14ac:dyDescent="0.25">
      <c r="A818" s="2"/>
      <c r="B818" s="5"/>
    </row>
    <row r="819" spans="1:2" x14ac:dyDescent="0.25">
      <c r="A819" s="2"/>
      <c r="B819" s="5"/>
    </row>
    <row r="820" spans="1:2" x14ac:dyDescent="0.25">
      <c r="A820" s="2"/>
      <c r="B820" s="5"/>
    </row>
    <row r="821" spans="1:2" x14ac:dyDescent="0.25">
      <c r="A821" s="2"/>
      <c r="B821" s="5"/>
    </row>
    <row r="822" spans="1:2" x14ac:dyDescent="0.25">
      <c r="A822" s="2"/>
      <c r="B822" s="5"/>
    </row>
    <row r="823" spans="1:2" x14ac:dyDescent="0.25">
      <c r="A823" s="2"/>
      <c r="B823" s="5"/>
    </row>
    <row r="824" spans="1:2" x14ac:dyDescent="0.25">
      <c r="A824" s="2"/>
      <c r="B824" s="5"/>
    </row>
    <row r="825" spans="1:2" x14ac:dyDescent="0.25">
      <c r="A825" s="2"/>
      <c r="B825" s="5"/>
    </row>
    <row r="826" spans="1:2" x14ac:dyDescent="0.25">
      <c r="A826" s="2"/>
      <c r="B826" s="5"/>
    </row>
    <row r="827" spans="1:2" x14ac:dyDescent="0.25">
      <c r="A827" s="2"/>
      <c r="B827" s="5"/>
    </row>
    <row r="828" spans="1:2" x14ac:dyDescent="0.25">
      <c r="A828" s="2"/>
      <c r="B828" s="5"/>
    </row>
    <row r="829" spans="1:2" x14ac:dyDescent="0.25">
      <c r="A829" s="2"/>
      <c r="B829" s="5"/>
    </row>
    <row r="830" spans="1:2" x14ac:dyDescent="0.25">
      <c r="A830" s="2"/>
      <c r="B830" s="5"/>
    </row>
    <row r="831" spans="1:2" x14ac:dyDescent="0.25">
      <c r="A831" s="2"/>
      <c r="B831" s="5"/>
    </row>
    <row r="832" spans="1:2" x14ac:dyDescent="0.25">
      <c r="A832" s="2"/>
      <c r="B832" s="5"/>
    </row>
    <row r="833" spans="1:2" x14ac:dyDescent="0.25">
      <c r="A833" s="2"/>
      <c r="B833" s="5"/>
    </row>
    <row r="834" spans="1:2" x14ac:dyDescent="0.25">
      <c r="A834" s="2"/>
      <c r="B834" s="5"/>
    </row>
    <row r="835" spans="1:2" x14ac:dyDescent="0.25">
      <c r="A835" s="2"/>
      <c r="B835" s="5"/>
    </row>
    <row r="836" spans="1:2" x14ac:dyDescent="0.25">
      <c r="A836" s="2"/>
      <c r="B836" s="5"/>
    </row>
    <row r="837" spans="1:2" x14ac:dyDescent="0.25">
      <c r="A837" s="2"/>
      <c r="B837" s="5"/>
    </row>
    <row r="838" spans="1:2" x14ac:dyDescent="0.25">
      <c r="A838" s="2"/>
      <c r="B838" s="5"/>
    </row>
    <row r="839" spans="1:2" x14ac:dyDescent="0.25">
      <c r="A839" s="2"/>
      <c r="B839" s="5"/>
    </row>
    <row r="840" spans="1:2" x14ac:dyDescent="0.25">
      <c r="A840" s="2"/>
      <c r="B840" s="5"/>
    </row>
    <row r="841" spans="1:2" x14ac:dyDescent="0.25">
      <c r="A841" s="2"/>
      <c r="B841" s="5"/>
    </row>
    <row r="842" spans="1:2" x14ac:dyDescent="0.25">
      <c r="A842" s="2"/>
      <c r="B842" s="5"/>
    </row>
    <row r="843" spans="1:2" x14ac:dyDescent="0.25">
      <c r="A843" s="2"/>
      <c r="B843" s="5"/>
    </row>
    <row r="844" spans="1:2" x14ac:dyDescent="0.25">
      <c r="A844" s="2"/>
      <c r="B844" s="5"/>
    </row>
    <row r="845" spans="1:2" x14ac:dyDescent="0.25">
      <c r="A845" s="2"/>
      <c r="B845" s="5"/>
    </row>
    <row r="846" spans="1:2" x14ac:dyDescent="0.25">
      <c r="A846" s="2"/>
      <c r="B846" s="5"/>
    </row>
    <row r="847" spans="1:2" x14ac:dyDescent="0.25">
      <c r="A847" s="2"/>
      <c r="B847" s="5"/>
    </row>
    <row r="848" spans="1:2" x14ac:dyDescent="0.25">
      <c r="A848" s="2"/>
      <c r="B848" s="5"/>
    </row>
    <row r="849" spans="1:2" x14ac:dyDescent="0.25">
      <c r="A849" s="2"/>
      <c r="B849" s="5"/>
    </row>
    <row r="850" spans="1:2" x14ac:dyDescent="0.25">
      <c r="A850" s="2"/>
      <c r="B850" s="5"/>
    </row>
    <row r="851" spans="1:2" x14ac:dyDescent="0.25">
      <c r="A851" s="2"/>
      <c r="B851" s="5"/>
    </row>
    <row r="852" spans="1:2" x14ac:dyDescent="0.25">
      <c r="A852" s="2"/>
      <c r="B852" s="5"/>
    </row>
    <row r="853" spans="1:2" x14ac:dyDescent="0.25">
      <c r="A853" s="2"/>
      <c r="B853" s="5"/>
    </row>
    <row r="854" spans="1:2" x14ac:dyDescent="0.25">
      <c r="A854" s="2"/>
      <c r="B854" s="5"/>
    </row>
    <row r="855" spans="1:2" x14ac:dyDescent="0.25">
      <c r="A855" s="2"/>
      <c r="B855" s="5"/>
    </row>
    <row r="856" spans="1:2" x14ac:dyDescent="0.25">
      <c r="A856" s="2"/>
      <c r="B856" s="5"/>
    </row>
    <row r="857" spans="1:2" x14ac:dyDescent="0.25">
      <c r="A857" s="2"/>
      <c r="B857" s="5"/>
    </row>
    <row r="858" spans="1:2" x14ac:dyDescent="0.25">
      <c r="A858" s="2"/>
      <c r="B858" s="5"/>
    </row>
    <row r="859" spans="1:2" x14ac:dyDescent="0.25">
      <c r="A859" s="2"/>
      <c r="B859" s="5"/>
    </row>
    <row r="860" spans="1:2" x14ac:dyDescent="0.25">
      <c r="A860" s="2"/>
      <c r="B860" s="5"/>
    </row>
    <row r="861" spans="1:2" x14ac:dyDescent="0.25">
      <c r="A861" s="2"/>
      <c r="B861" s="5"/>
    </row>
    <row r="862" spans="1:2" x14ac:dyDescent="0.25">
      <c r="A862" s="2"/>
      <c r="B862" s="5"/>
    </row>
    <row r="863" spans="1:2" x14ac:dyDescent="0.25">
      <c r="A863" s="2"/>
      <c r="B863" s="5"/>
    </row>
    <row r="864" spans="1:2" x14ac:dyDescent="0.25">
      <c r="A864" s="2"/>
      <c r="B864" s="5"/>
    </row>
    <row r="865" spans="1:2" x14ac:dyDescent="0.25">
      <c r="A865" s="2"/>
      <c r="B865" s="5"/>
    </row>
    <row r="866" spans="1:2" x14ac:dyDescent="0.25">
      <c r="A866" s="2"/>
      <c r="B866" s="5"/>
    </row>
    <row r="867" spans="1:2" x14ac:dyDescent="0.25">
      <c r="A867" s="2"/>
      <c r="B867" s="5"/>
    </row>
    <row r="868" spans="1:2" x14ac:dyDescent="0.25">
      <c r="A868" s="2"/>
      <c r="B868" s="5"/>
    </row>
    <row r="869" spans="1:2" x14ac:dyDescent="0.25">
      <c r="A869" s="2"/>
      <c r="B869" s="5"/>
    </row>
    <row r="870" spans="1:2" x14ac:dyDescent="0.25">
      <c r="A870" s="2"/>
      <c r="B870" s="5"/>
    </row>
    <row r="871" spans="1:2" x14ac:dyDescent="0.25">
      <c r="A871" s="2"/>
      <c r="B871" s="5"/>
    </row>
    <row r="872" spans="1:2" x14ac:dyDescent="0.25">
      <c r="A872" s="2"/>
      <c r="B872" s="5"/>
    </row>
    <row r="873" spans="1:2" x14ac:dyDescent="0.25">
      <c r="A873" s="2"/>
      <c r="B873" s="5"/>
    </row>
    <row r="874" spans="1:2" x14ac:dyDescent="0.25">
      <c r="A874" s="2"/>
      <c r="B874" s="5"/>
    </row>
    <row r="875" spans="1:2" x14ac:dyDescent="0.25">
      <c r="A875" s="2"/>
      <c r="B875" s="5"/>
    </row>
    <row r="876" spans="1:2" x14ac:dyDescent="0.25">
      <c r="A876" s="2"/>
      <c r="B876" s="5"/>
    </row>
    <row r="877" spans="1:2" x14ac:dyDescent="0.25">
      <c r="A877" s="2"/>
      <c r="B877" s="5"/>
    </row>
    <row r="878" spans="1:2" x14ac:dyDescent="0.25">
      <c r="A878" s="2"/>
      <c r="B878" s="5"/>
    </row>
    <row r="879" spans="1:2" x14ac:dyDescent="0.25">
      <c r="A879" s="2"/>
      <c r="B879" s="5"/>
    </row>
    <row r="880" spans="1:2" x14ac:dyDescent="0.25">
      <c r="A880" s="2"/>
      <c r="B880" s="5"/>
    </row>
    <row r="881" spans="1:2" x14ac:dyDescent="0.25">
      <c r="A881" s="2"/>
      <c r="B881" s="5"/>
    </row>
    <row r="882" spans="1:2" x14ac:dyDescent="0.25">
      <c r="A882" s="2"/>
      <c r="B882" s="5"/>
    </row>
    <row r="883" spans="1:2" x14ac:dyDescent="0.25">
      <c r="A883" s="2"/>
      <c r="B883" s="5"/>
    </row>
    <row r="884" spans="1:2" x14ac:dyDescent="0.25">
      <c r="A884" s="2"/>
      <c r="B884" s="5"/>
    </row>
    <row r="885" spans="1:2" x14ac:dyDescent="0.25">
      <c r="A885" s="2"/>
      <c r="B885" s="5"/>
    </row>
    <row r="886" spans="1:2" x14ac:dyDescent="0.25">
      <c r="A886" s="2"/>
      <c r="B886" s="5"/>
    </row>
    <row r="887" spans="1:2" x14ac:dyDescent="0.25">
      <c r="A887" s="2"/>
      <c r="B887" s="5"/>
    </row>
    <row r="888" spans="1:2" x14ac:dyDescent="0.25">
      <c r="A888" s="2"/>
      <c r="B888" s="5"/>
    </row>
    <row r="889" spans="1:2" x14ac:dyDescent="0.25">
      <c r="A889" s="2"/>
      <c r="B889" s="5"/>
    </row>
    <row r="890" spans="1:2" x14ac:dyDescent="0.25">
      <c r="A890" s="2"/>
      <c r="B890" s="5"/>
    </row>
    <row r="891" spans="1:2" x14ac:dyDescent="0.25">
      <c r="A891" s="2"/>
      <c r="B891" s="5"/>
    </row>
    <row r="892" spans="1:2" x14ac:dyDescent="0.25">
      <c r="A892" s="2"/>
      <c r="B892" s="5"/>
    </row>
    <row r="893" spans="1:2" x14ac:dyDescent="0.25">
      <c r="A893" s="2"/>
      <c r="B893" s="5"/>
    </row>
    <row r="894" spans="1:2" x14ac:dyDescent="0.25">
      <c r="A894" s="2"/>
      <c r="B894" s="5"/>
    </row>
    <row r="895" spans="1:2" x14ac:dyDescent="0.25">
      <c r="A895" s="2"/>
      <c r="B895" s="5"/>
    </row>
    <row r="896" spans="1:2" x14ac:dyDescent="0.25">
      <c r="A896" s="2"/>
      <c r="B896" s="5"/>
    </row>
    <row r="897" spans="1:2" x14ac:dyDescent="0.25">
      <c r="A897" s="2"/>
      <c r="B897" s="5"/>
    </row>
    <row r="898" spans="1:2" x14ac:dyDescent="0.25">
      <c r="A898" s="2"/>
      <c r="B898" s="5"/>
    </row>
    <row r="899" spans="1:2" x14ac:dyDescent="0.25">
      <c r="A899" s="2"/>
      <c r="B899" s="5"/>
    </row>
    <row r="900" spans="1:2" x14ac:dyDescent="0.25">
      <c r="A900" s="2"/>
      <c r="B900" s="5"/>
    </row>
    <row r="901" spans="1:2" x14ac:dyDescent="0.25">
      <c r="A901" s="2"/>
      <c r="B901" s="5"/>
    </row>
    <row r="902" spans="1:2" x14ac:dyDescent="0.25">
      <c r="A902" s="2"/>
      <c r="B902" s="5"/>
    </row>
    <row r="903" spans="1:2" x14ac:dyDescent="0.25">
      <c r="A903" s="2"/>
      <c r="B903" s="5"/>
    </row>
    <row r="904" spans="1:2" x14ac:dyDescent="0.25">
      <c r="A904" s="2"/>
      <c r="B904" s="5"/>
    </row>
    <row r="905" spans="1:2" x14ac:dyDescent="0.25">
      <c r="A905" s="2"/>
      <c r="B905" s="5"/>
    </row>
    <row r="906" spans="1:2" x14ac:dyDescent="0.25">
      <c r="A906" s="2"/>
      <c r="B906" s="5"/>
    </row>
    <row r="907" spans="1:2" x14ac:dyDescent="0.25">
      <c r="A907" s="2"/>
      <c r="B907" s="5"/>
    </row>
    <row r="908" spans="1:2" x14ac:dyDescent="0.25">
      <c r="A908" s="2"/>
      <c r="B908" s="5"/>
    </row>
    <row r="909" spans="1:2" x14ac:dyDescent="0.25">
      <c r="A909" s="2"/>
      <c r="B909" s="5"/>
    </row>
    <row r="910" spans="1:2" x14ac:dyDescent="0.25">
      <c r="A910" s="2"/>
      <c r="B910" s="5"/>
    </row>
    <row r="911" spans="1:2" x14ac:dyDescent="0.25">
      <c r="A911" s="2"/>
      <c r="B911" s="5"/>
    </row>
    <row r="912" spans="1:2" x14ac:dyDescent="0.25">
      <c r="A912" s="2"/>
      <c r="B912" s="5"/>
    </row>
    <row r="913" spans="1:2" x14ac:dyDescent="0.25">
      <c r="A913" s="2"/>
      <c r="B913" s="5"/>
    </row>
    <row r="914" spans="1:2" x14ac:dyDescent="0.25">
      <c r="A914" s="2"/>
      <c r="B914" s="5"/>
    </row>
    <row r="915" spans="1:2" x14ac:dyDescent="0.25">
      <c r="A915" s="2"/>
      <c r="B915" s="5"/>
    </row>
    <row r="916" spans="1:2" x14ac:dyDescent="0.25">
      <c r="A916" s="2"/>
      <c r="B916" s="5"/>
    </row>
    <row r="917" spans="1:2" x14ac:dyDescent="0.25">
      <c r="A917" s="2"/>
      <c r="B917" s="5"/>
    </row>
    <row r="918" spans="1:2" x14ac:dyDescent="0.25">
      <c r="A918" s="2"/>
      <c r="B918" s="5"/>
    </row>
    <row r="919" spans="1:2" x14ac:dyDescent="0.25">
      <c r="A919" s="2"/>
      <c r="B919" s="5"/>
    </row>
    <row r="920" spans="1:2" x14ac:dyDescent="0.25">
      <c r="A920" s="2"/>
      <c r="B920" s="5"/>
    </row>
    <row r="921" spans="1:2" x14ac:dyDescent="0.25">
      <c r="A921" s="2"/>
      <c r="B921" s="5"/>
    </row>
    <row r="922" spans="1:2" x14ac:dyDescent="0.25">
      <c r="A922" s="2"/>
      <c r="B922" s="5"/>
    </row>
    <row r="923" spans="1:2" x14ac:dyDescent="0.25">
      <c r="A923" s="2"/>
      <c r="B923" s="5"/>
    </row>
    <row r="924" spans="1:2" x14ac:dyDescent="0.25">
      <c r="A924" s="2"/>
      <c r="B924" s="5"/>
    </row>
    <row r="925" spans="1:2" x14ac:dyDescent="0.25">
      <c r="A925" s="2"/>
      <c r="B925" s="5"/>
    </row>
    <row r="926" spans="1:2" x14ac:dyDescent="0.25">
      <c r="A926" s="2"/>
      <c r="B926" s="5"/>
    </row>
    <row r="927" spans="1:2" x14ac:dyDescent="0.25">
      <c r="A927" s="2"/>
      <c r="B927" s="5"/>
    </row>
    <row r="928" spans="1:2" x14ac:dyDescent="0.25">
      <c r="A928" s="2"/>
      <c r="B928" s="5"/>
    </row>
    <row r="929" spans="1:2" x14ac:dyDescent="0.25">
      <c r="A929" s="2"/>
      <c r="B929" s="5"/>
    </row>
    <row r="930" spans="1:2" x14ac:dyDescent="0.25">
      <c r="A930" s="2"/>
      <c r="B930" s="5"/>
    </row>
    <row r="931" spans="1:2" x14ac:dyDescent="0.25">
      <c r="A931" s="2"/>
      <c r="B931" s="5"/>
    </row>
    <row r="932" spans="1:2" x14ac:dyDescent="0.25">
      <c r="A932" s="2"/>
      <c r="B932" s="5"/>
    </row>
    <row r="933" spans="1:2" x14ac:dyDescent="0.25">
      <c r="A933" s="2"/>
      <c r="B933" s="5"/>
    </row>
    <row r="934" spans="1:2" x14ac:dyDescent="0.25">
      <c r="A934" s="2"/>
      <c r="B934" s="5"/>
    </row>
    <row r="935" spans="1:2" x14ac:dyDescent="0.25">
      <c r="A935" s="2"/>
      <c r="B935" s="5"/>
    </row>
    <row r="936" spans="1:2" x14ac:dyDescent="0.25">
      <c r="A936" s="2"/>
      <c r="B936" s="5"/>
    </row>
    <row r="937" spans="1:2" x14ac:dyDescent="0.25">
      <c r="A937" s="2"/>
      <c r="B937" s="5"/>
    </row>
    <row r="938" spans="1:2" x14ac:dyDescent="0.25">
      <c r="A938" s="2"/>
      <c r="B938" s="5"/>
    </row>
    <row r="939" spans="1:2" x14ac:dyDescent="0.25">
      <c r="A939" s="2"/>
      <c r="B939" s="5"/>
    </row>
    <row r="940" spans="1:2" x14ac:dyDescent="0.25">
      <c r="A940" s="2"/>
      <c r="B940" s="5"/>
    </row>
    <row r="941" spans="1:2" x14ac:dyDescent="0.25">
      <c r="A941" s="2"/>
      <c r="B941" s="5"/>
    </row>
    <row r="942" spans="1:2" x14ac:dyDescent="0.25">
      <c r="A942" s="2"/>
      <c r="B942" s="5"/>
    </row>
    <row r="943" spans="1:2" x14ac:dyDescent="0.25">
      <c r="A943" s="2"/>
      <c r="B943" s="5"/>
    </row>
    <row r="944" spans="1:2" x14ac:dyDescent="0.25">
      <c r="A944" s="2"/>
      <c r="B944" s="5"/>
    </row>
    <row r="945" spans="1:2" x14ac:dyDescent="0.25">
      <c r="A945" s="2"/>
      <c r="B945" s="5"/>
    </row>
    <row r="946" spans="1:2" x14ac:dyDescent="0.25">
      <c r="A946" s="2"/>
      <c r="B946" s="5"/>
    </row>
    <row r="947" spans="1:2" x14ac:dyDescent="0.25">
      <c r="A947" s="2"/>
      <c r="B947" s="5"/>
    </row>
    <row r="948" spans="1:2" x14ac:dyDescent="0.25">
      <c r="A948" s="2"/>
      <c r="B948" s="5"/>
    </row>
    <row r="949" spans="1:2" x14ac:dyDescent="0.25">
      <c r="A949" s="2"/>
      <c r="B949" s="5"/>
    </row>
    <row r="950" spans="1:2" x14ac:dyDescent="0.25">
      <c r="A950" s="2"/>
      <c r="B950" s="5"/>
    </row>
    <row r="951" spans="1:2" x14ac:dyDescent="0.25">
      <c r="A951" s="2"/>
      <c r="B951" s="5"/>
    </row>
    <row r="952" spans="1:2" x14ac:dyDescent="0.25">
      <c r="A952" s="2"/>
      <c r="B952" s="5"/>
    </row>
    <row r="953" spans="1:2" x14ac:dyDescent="0.25">
      <c r="A953" s="2"/>
      <c r="B953" s="5"/>
    </row>
    <row r="954" spans="1:2" x14ac:dyDescent="0.25">
      <c r="A954" s="2"/>
      <c r="B954" s="5"/>
    </row>
    <row r="955" spans="1:2" x14ac:dyDescent="0.25">
      <c r="A955" s="2"/>
      <c r="B955" s="5"/>
    </row>
    <row r="956" spans="1:2" x14ac:dyDescent="0.25">
      <c r="A956" s="2"/>
      <c r="B956" s="5"/>
    </row>
    <row r="957" spans="1:2" x14ac:dyDescent="0.25">
      <c r="A957" s="2"/>
      <c r="B957" s="5"/>
    </row>
    <row r="958" spans="1:2" x14ac:dyDescent="0.25">
      <c r="A958" s="2"/>
      <c r="B958" s="5"/>
    </row>
    <row r="959" spans="1:2" x14ac:dyDescent="0.25">
      <c r="A959" s="2"/>
      <c r="B959" s="5"/>
    </row>
    <row r="960" spans="1:2" x14ac:dyDescent="0.25">
      <c r="A960" s="2"/>
      <c r="B960" s="5"/>
    </row>
    <row r="961" spans="1:2" x14ac:dyDescent="0.25">
      <c r="A961" s="2"/>
      <c r="B961" s="5"/>
    </row>
    <row r="962" spans="1:2" x14ac:dyDescent="0.25">
      <c r="A962" s="2"/>
      <c r="B962" s="5"/>
    </row>
    <row r="963" spans="1:2" x14ac:dyDescent="0.25">
      <c r="A963" s="2"/>
      <c r="B963" s="5"/>
    </row>
    <row r="964" spans="1:2" x14ac:dyDescent="0.25">
      <c r="A964" s="2"/>
      <c r="B964" s="5"/>
    </row>
    <row r="965" spans="1:2" x14ac:dyDescent="0.25">
      <c r="A965" s="2"/>
      <c r="B965" s="5"/>
    </row>
    <row r="966" spans="1:2" x14ac:dyDescent="0.25">
      <c r="A966" s="2"/>
      <c r="B966" s="5"/>
    </row>
    <row r="967" spans="1:2" x14ac:dyDescent="0.25">
      <c r="A967" s="2"/>
      <c r="B967" s="5"/>
    </row>
    <row r="968" spans="1:2" x14ac:dyDescent="0.25">
      <c r="A968" s="2"/>
      <c r="B968" s="5"/>
    </row>
    <row r="969" spans="1:2" x14ac:dyDescent="0.25">
      <c r="A969" s="2"/>
      <c r="B969" s="5"/>
    </row>
    <row r="970" spans="1:2" x14ac:dyDescent="0.25">
      <c r="A970" s="2"/>
      <c r="B970" s="5"/>
    </row>
    <row r="971" spans="1:2" x14ac:dyDescent="0.25">
      <c r="A971" s="2"/>
      <c r="B971" s="5"/>
    </row>
    <row r="972" spans="1:2" x14ac:dyDescent="0.25">
      <c r="A972" s="2"/>
      <c r="B972" s="5"/>
    </row>
    <row r="973" spans="1:2" x14ac:dyDescent="0.25">
      <c r="A973" s="2"/>
      <c r="B973" s="5"/>
    </row>
    <row r="974" spans="1:2" x14ac:dyDescent="0.25">
      <c r="A974" s="2"/>
      <c r="B974" s="5"/>
    </row>
    <row r="975" spans="1:2" x14ac:dyDescent="0.25">
      <c r="A975" s="2"/>
      <c r="B975" s="5"/>
    </row>
    <row r="976" spans="1:2" x14ac:dyDescent="0.25">
      <c r="A976" s="2"/>
      <c r="B976" s="5"/>
    </row>
    <row r="977" spans="1:2" x14ac:dyDescent="0.25">
      <c r="A977" s="2"/>
      <c r="B977" s="5"/>
    </row>
    <row r="978" spans="1:2" x14ac:dyDescent="0.25">
      <c r="A978" s="2"/>
      <c r="B978" s="5"/>
    </row>
    <row r="979" spans="1:2" x14ac:dyDescent="0.25">
      <c r="A979" s="2"/>
      <c r="B979" s="5"/>
    </row>
    <row r="980" spans="1:2" x14ac:dyDescent="0.25">
      <c r="A980" s="2"/>
      <c r="B980" s="5"/>
    </row>
    <row r="981" spans="1:2" x14ac:dyDescent="0.25">
      <c r="A981" s="2"/>
      <c r="B981" s="5"/>
    </row>
    <row r="982" spans="1:2" x14ac:dyDescent="0.25">
      <c r="A982" s="2"/>
      <c r="B982" s="5"/>
    </row>
    <row r="983" spans="1:2" x14ac:dyDescent="0.25">
      <c r="A983" s="2"/>
      <c r="B983" s="5"/>
    </row>
    <row r="984" spans="1:2" x14ac:dyDescent="0.25">
      <c r="A984" s="2"/>
      <c r="B984" s="5"/>
    </row>
    <row r="985" spans="1:2" x14ac:dyDescent="0.25">
      <c r="A985" s="2"/>
      <c r="B985" s="5"/>
    </row>
    <row r="986" spans="1:2" x14ac:dyDescent="0.25">
      <c r="A986" s="2"/>
      <c r="B986" s="5"/>
    </row>
    <row r="987" spans="1:2" x14ac:dyDescent="0.25">
      <c r="A987" s="2"/>
      <c r="B987" s="5"/>
    </row>
    <row r="988" spans="1:2" x14ac:dyDescent="0.25">
      <c r="A988" s="2"/>
      <c r="B988" s="5"/>
    </row>
    <row r="989" spans="1:2" x14ac:dyDescent="0.25">
      <c r="A989" s="2"/>
      <c r="B989" s="5"/>
    </row>
    <row r="990" spans="1:2" x14ac:dyDescent="0.25">
      <c r="A990" s="2"/>
      <c r="B990" s="5"/>
    </row>
    <row r="991" spans="1:2" x14ac:dyDescent="0.25">
      <c r="A991" s="2"/>
      <c r="B991" s="5"/>
    </row>
    <row r="992" spans="1:2" x14ac:dyDescent="0.25">
      <c r="A992" s="2"/>
      <c r="B992" s="5"/>
    </row>
    <row r="993" spans="1:2" x14ac:dyDescent="0.25">
      <c r="A993" s="2"/>
      <c r="B993" s="5"/>
    </row>
    <row r="994" spans="1:2" x14ac:dyDescent="0.25">
      <c r="A994" s="2"/>
      <c r="B994" s="5"/>
    </row>
    <row r="995" spans="1:2" x14ac:dyDescent="0.25">
      <c r="A995" s="2"/>
      <c r="B995" s="5"/>
    </row>
    <row r="996" spans="1:2" x14ac:dyDescent="0.25">
      <c r="A996" s="2"/>
      <c r="B996" s="5"/>
    </row>
    <row r="997" spans="1:2" x14ac:dyDescent="0.25">
      <c r="A997" s="2"/>
      <c r="B997" s="5"/>
    </row>
    <row r="998" spans="1:2" x14ac:dyDescent="0.25">
      <c r="A998" s="2"/>
      <c r="B998" s="5"/>
    </row>
    <row r="999" spans="1:2" x14ac:dyDescent="0.25">
      <c r="A999" s="2"/>
      <c r="B999" s="5"/>
    </row>
    <row r="1000" spans="1:2" x14ac:dyDescent="0.25">
      <c r="A1000" s="2"/>
      <c r="B1000" s="5"/>
    </row>
    <row r="1001" spans="1:2" x14ac:dyDescent="0.25">
      <c r="A1001" s="2"/>
      <c r="B1001" s="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53"/>
  <sheetViews>
    <sheetView workbookViewId="0">
      <pane xSplit="1" ySplit="3" topLeftCell="B4" activePane="bottomRight" state="frozen"/>
      <selection pane="topRight" activeCell="B1" sqref="B1"/>
      <selection pane="bottomLeft" activeCell="A4" sqref="A4"/>
      <selection pane="bottomRight" activeCell="F7" sqref="F7"/>
    </sheetView>
  </sheetViews>
  <sheetFormatPr baseColWidth="10" defaultColWidth="12.6640625" defaultRowHeight="15.75" customHeight="1" x14ac:dyDescent="0.25"/>
  <cols>
    <col min="6" max="6" width="9.6640625" customWidth="1"/>
  </cols>
  <sheetData>
    <row r="1" spans="1:26" x14ac:dyDescent="0.25">
      <c r="A1" s="9">
        <f ca="1">IFERROR(__xludf.DUMMYFUNCTION("MAX(FILTER('Order Side'!A2:A53, 'Order Side'!G2:G53))+1"),1)</f>
        <v>1</v>
      </c>
      <c r="B1" s="10">
        <f t="shared" ref="B1:E1" ca="1" si="0">INDEX(B4:B53, COUNT(B4:B53))</f>
        <v>1002</v>
      </c>
      <c r="C1" s="11">
        <f t="shared" si="0"/>
        <v>20</v>
      </c>
      <c r="D1" s="12">
        <f t="shared" si="0"/>
        <v>20</v>
      </c>
      <c r="E1" s="13">
        <f t="shared" si="0"/>
        <v>20</v>
      </c>
      <c r="F1" s="1" t="s">
        <v>25</v>
      </c>
      <c r="G1" s="14"/>
      <c r="H1" s="15"/>
      <c r="I1" s="16"/>
      <c r="J1" s="17"/>
    </row>
    <row r="2" spans="1:26" x14ac:dyDescent="0.25">
      <c r="A2" s="2"/>
      <c r="B2" s="18">
        <f t="shared" ref="B2:E2" ca="1" si="1">SUM(B4:B53)</f>
        <v>21558</v>
      </c>
      <c r="C2" s="19">
        <f t="shared" si="1"/>
        <v>990</v>
      </c>
      <c r="D2" s="20">
        <f t="shared" si="1"/>
        <v>990</v>
      </c>
      <c r="E2" s="21">
        <f t="shared" si="1"/>
        <v>990</v>
      </c>
      <c r="F2" s="2" t="s">
        <v>26</v>
      </c>
      <c r="G2" s="14"/>
      <c r="H2" s="22" t="s">
        <v>27</v>
      </c>
      <c r="I2" s="16"/>
      <c r="J2" s="17"/>
    </row>
    <row r="3" spans="1:26" x14ac:dyDescent="0.25">
      <c r="A3" s="2" t="s">
        <v>3</v>
      </c>
      <c r="B3" s="18" t="s">
        <v>20</v>
      </c>
      <c r="C3" s="19" t="s">
        <v>21</v>
      </c>
      <c r="D3" s="20" t="s">
        <v>22</v>
      </c>
      <c r="E3" s="21" t="s">
        <v>23</v>
      </c>
      <c r="F3" s="2"/>
      <c r="G3" s="23" t="s">
        <v>20</v>
      </c>
      <c r="H3" s="22" t="s">
        <v>21</v>
      </c>
      <c r="I3" s="24" t="s">
        <v>22</v>
      </c>
      <c r="J3" s="25" t="s">
        <v>23</v>
      </c>
      <c r="K3" s="2"/>
      <c r="L3" s="2"/>
      <c r="M3" s="2"/>
      <c r="N3" s="2"/>
      <c r="O3" s="2"/>
      <c r="P3" s="2"/>
      <c r="Q3" s="2"/>
      <c r="R3" s="2"/>
      <c r="S3" s="2" t="str">
        <f t="shared" ref="S3:W3" si="2">A3</f>
        <v>Week</v>
      </c>
      <c r="T3" s="26" t="str">
        <f t="shared" si="2"/>
        <v>Retailer</v>
      </c>
      <c r="U3" s="26" t="str">
        <f t="shared" si="2"/>
        <v>Wholesaler</v>
      </c>
      <c r="V3" s="26" t="str">
        <f t="shared" si="2"/>
        <v>Supplier</v>
      </c>
      <c r="W3" s="26" t="str">
        <f t="shared" si="2"/>
        <v>Factory</v>
      </c>
      <c r="X3" s="2"/>
      <c r="Y3" s="2"/>
      <c r="Z3" s="2"/>
    </row>
    <row r="4" spans="1:26" x14ac:dyDescent="0.25">
      <c r="A4" s="9">
        <v>1</v>
      </c>
      <c r="B4" s="10">
        <f>IF('Order Side'!$G2, IF('Supply Side'!C2&gt;0, 'Supply Side'!C2, -'Supply Side'!C2*2), )</f>
        <v>15</v>
      </c>
      <c r="C4" s="27">
        <f>IF('Order Side'!$G2, IF('Supply Side'!F2&gt;0, 'Supply Side'!F2, -'Supply Side'!F2*2), )</f>
        <v>15</v>
      </c>
      <c r="D4" s="28">
        <f>IF('Order Side'!$G2, IF('Supply Side'!I2&gt;0, 'Supply Side'!I2, -'Supply Side'!I2*2), )</f>
        <v>15</v>
      </c>
      <c r="E4" s="29">
        <f>IF('Order Side'!$G2, IF('Supply Side'!L2&gt;0, 'Supply Side'!L2, -'Supply Side'!L2*2), )</f>
        <v>15</v>
      </c>
      <c r="G4" s="14">
        <f>IF('Order Side'!$G2, 'Supply Side'!C2, )</f>
        <v>15</v>
      </c>
      <c r="H4" s="30">
        <f>IF('Order Side'!$G2, 'Supply Side'!F2, )</f>
        <v>15</v>
      </c>
      <c r="I4" s="31">
        <f>IF('Order Side'!$G2, 'Supply Side'!I2, )</f>
        <v>15</v>
      </c>
      <c r="J4" s="32">
        <f>IF('Order Side'!$G2, 'Supply Side'!L2, )</f>
        <v>15</v>
      </c>
      <c r="K4" s="33"/>
      <c r="S4" s="2">
        <f t="shared" ref="S4:S53" si="3">A4</f>
        <v>1</v>
      </c>
      <c r="T4" s="33">
        <f t="shared" ref="T4:W4" si="4">SUM(B$4:B4)</f>
        <v>15</v>
      </c>
      <c r="U4" s="33">
        <f t="shared" si="4"/>
        <v>15</v>
      </c>
      <c r="V4" s="33">
        <f t="shared" si="4"/>
        <v>15</v>
      </c>
      <c r="W4" s="33">
        <f t="shared" si="4"/>
        <v>15</v>
      </c>
    </row>
    <row r="5" spans="1:26" x14ac:dyDescent="0.25">
      <c r="A5" s="2">
        <f t="shared" ref="A5:A53" si="5">A4+1</f>
        <v>2</v>
      </c>
      <c r="B5" s="10">
        <f>IF('Order Side'!$G3, IF('Supply Side'!C3&gt;0, 'Supply Side'!C3, -'Supply Side'!C3*2), )</f>
        <v>10</v>
      </c>
      <c r="C5" s="27">
        <f>IF('Order Side'!$G3, IF('Supply Side'!F3&gt;0, 'Supply Side'!F3, -'Supply Side'!F3*2), )</f>
        <v>15</v>
      </c>
      <c r="D5" s="28">
        <f>IF('Order Side'!$G3, IF('Supply Side'!I3&gt;0, 'Supply Side'!I3, -'Supply Side'!I3*2), )</f>
        <v>15</v>
      </c>
      <c r="E5" s="29">
        <f>IF('Order Side'!$G3, IF('Supply Side'!L3&gt;0, 'Supply Side'!L3, -'Supply Side'!L3*2), )</f>
        <v>15</v>
      </c>
      <c r="G5" s="14">
        <f>IF('Order Side'!$G3, 'Supply Side'!C3, )</f>
        <v>10</v>
      </c>
      <c r="H5" s="30">
        <f>IF('Order Side'!$G3, 'Supply Side'!F3, )</f>
        <v>15</v>
      </c>
      <c r="I5" s="31">
        <f>IF('Order Side'!$G3, 'Supply Side'!I3, )</f>
        <v>15</v>
      </c>
      <c r="J5" s="32">
        <f>IF('Order Side'!$G3, 'Supply Side'!L3, )</f>
        <v>15</v>
      </c>
      <c r="S5" s="2">
        <f t="shared" si="3"/>
        <v>2</v>
      </c>
      <c r="T5" s="33">
        <f t="shared" ref="T5:W5" si="6">SUM(B$4:B5)</f>
        <v>25</v>
      </c>
      <c r="U5" s="33">
        <f t="shared" si="6"/>
        <v>30</v>
      </c>
      <c r="V5" s="33">
        <f t="shared" si="6"/>
        <v>30</v>
      </c>
      <c r="W5" s="33">
        <f t="shared" si="6"/>
        <v>30</v>
      </c>
    </row>
    <row r="6" spans="1:26" x14ac:dyDescent="0.25">
      <c r="A6" s="2">
        <f t="shared" si="5"/>
        <v>3</v>
      </c>
      <c r="B6" s="10">
        <f>IF('Order Side'!$G4, IF('Supply Side'!C4&gt;0, 'Supply Side'!C4, -'Supply Side'!C4*2), )</f>
        <v>10</v>
      </c>
      <c r="C6" s="27">
        <f>IF('Order Side'!$G4, IF('Supply Side'!F4&gt;0, 'Supply Side'!F4, -'Supply Side'!F4*2), )</f>
        <v>20</v>
      </c>
      <c r="D6" s="28">
        <f>IF('Order Side'!$G4, IF('Supply Side'!I4&gt;0, 'Supply Side'!I4, -'Supply Side'!I4*2), )</f>
        <v>20</v>
      </c>
      <c r="E6" s="29">
        <f>IF('Order Side'!$G4, IF('Supply Side'!L4&gt;0, 'Supply Side'!L4, -'Supply Side'!L4*2), )</f>
        <v>20</v>
      </c>
      <c r="G6" s="14">
        <f>IF('Order Side'!$G4, 'Supply Side'!C4, )</f>
        <v>10</v>
      </c>
      <c r="H6" s="30">
        <f>IF('Order Side'!$G4, 'Supply Side'!F4, )</f>
        <v>20</v>
      </c>
      <c r="I6" s="31">
        <f>IF('Order Side'!$G4, 'Supply Side'!I4, )</f>
        <v>20</v>
      </c>
      <c r="J6" s="32">
        <f>IF('Order Side'!$G4, 'Supply Side'!L4, )</f>
        <v>20</v>
      </c>
      <c r="S6" s="2">
        <f t="shared" si="3"/>
        <v>3</v>
      </c>
      <c r="T6" s="33">
        <f t="shared" ref="T6:W6" si="7">SUM(B$4:B6)</f>
        <v>35</v>
      </c>
      <c r="U6" s="33">
        <f t="shared" si="7"/>
        <v>50</v>
      </c>
      <c r="V6" s="33">
        <f t="shared" si="7"/>
        <v>50</v>
      </c>
      <c r="W6" s="33">
        <f t="shared" si="7"/>
        <v>50</v>
      </c>
    </row>
    <row r="7" spans="1:26" x14ac:dyDescent="0.25">
      <c r="A7" s="2">
        <f t="shared" si="5"/>
        <v>4</v>
      </c>
      <c r="B7" s="10">
        <f>IF('Order Side'!$G5, IF('Supply Side'!C5&gt;0, 'Supply Side'!C5, -'Supply Side'!C5*2), )</f>
        <v>5</v>
      </c>
      <c r="C7" s="27">
        <f>IF('Order Side'!$G5, IF('Supply Side'!F5&gt;0, 'Supply Side'!F5, -'Supply Side'!F5*2), )</f>
        <v>20</v>
      </c>
      <c r="D7" s="28">
        <f>IF('Order Side'!$G5, IF('Supply Side'!I5&gt;0, 'Supply Side'!I5, -'Supply Side'!I5*2), )</f>
        <v>20</v>
      </c>
      <c r="E7" s="29">
        <f>IF('Order Side'!$G5, IF('Supply Side'!L5&gt;0, 'Supply Side'!L5, -'Supply Side'!L5*2), )</f>
        <v>20</v>
      </c>
      <c r="G7" s="14">
        <f>IF('Order Side'!$G5, 'Supply Side'!C5, )</f>
        <v>5</v>
      </c>
      <c r="H7" s="30">
        <f>IF('Order Side'!$G5, 'Supply Side'!F5, )</f>
        <v>20</v>
      </c>
      <c r="I7" s="31">
        <f>IF('Order Side'!$G5, 'Supply Side'!I5, )</f>
        <v>20</v>
      </c>
      <c r="J7" s="32">
        <f>IF('Order Side'!$G5, 'Supply Side'!L5, )</f>
        <v>20</v>
      </c>
      <c r="S7" s="2">
        <f t="shared" si="3"/>
        <v>4</v>
      </c>
      <c r="T7" s="33">
        <f t="shared" ref="T7:W7" si="8">SUM(B$4:B7)</f>
        <v>40</v>
      </c>
      <c r="U7" s="33">
        <f t="shared" si="8"/>
        <v>70</v>
      </c>
      <c r="V7" s="33">
        <f t="shared" si="8"/>
        <v>70</v>
      </c>
      <c r="W7" s="33">
        <f t="shared" si="8"/>
        <v>70</v>
      </c>
    </row>
    <row r="8" spans="1:26" x14ac:dyDescent="0.25">
      <c r="A8" s="2">
        <f t="shared" si="5"/>
        <v>5</v>
      </c>
      <c r="B8" s="10">
        <f>IF('Order Side'!$G6, IF('Supply Side'!C6&gt;0, 'Supply Side'!C6, -'Supply Side'!C6*2), )</f>
        <v>0</v>
      </c>
      <c r="C8" s="27">
        <f>IF('Order Side'!$G6, IF('Supply Side'!F6&gt;0, 'Supply Side'!F6, -'Supply Side'!F6*2), )</f>
        <v>20</v>
      </c>
      <c r="D8" s="28">
        <f>IF('Order Side'!$G6, IF('Supply Side'!I6&gt;0, 'Supply Side'!I6, -'Supply Side'!I6*2), )</f>
        <v>20</v>
      </c>
      <c r="E8" s="29">
        <f>IF('Order Side'!$G6, IF('Supply Side'!L6&gt;0, 'Supply Side'!L6, -'Supply Side'!L6*2), )</f>
        <v>20</v>
      </c>
      <c r="G8" s="14">
        <f>IF('Order Side'!$G6, 'Supply Side'!C6, )</f>
        <v>0</v>
      </c>
      <c r="H8" s="30">
        <f>IF('Order Side'!$G6, 'Supply Side'!F6, )</f>
        <v>20</v>
      </c>
      <c r="I8" s="31">
        <f>IF('Order Side'!$G6, 'Supply Side'!I6, )</f>
        <v>20</v>
      </c>
      <c r="J8" s="32">
        <f>IF('Order Side'!$G6, 'Supply Side'!L6, )</f>
        <v>20</v>
      </c>
      <c r="S8" s="2">
        <f t="shared" si="3"/>
        <v>5</v>
      </c>
      <c r="T8" s="33">
        <f t="shared" ref="T8:W8" si="9">SUM(B$4:B8)</f>
        <v>40</v>
      </c>
      <c r="U8" s="33">
        <f t="shared" si="9"/>
        <v>90</v>
      </c>
      <c r="V8" s="33">
        <f t="shared" si="9"/>
        <v>90</v>
      </c>
      <c r="W8" s="33">
        <f t="shared" si="9"/>
        <v>90</v>
      </c>
    </row>
    <row r="9" spans="1:26" x14ac:dyDescent="0.25">
      <c r="A9" s="2">
        <f t="shared" si="5"/>
        <v>6</v>
      </c>
      <c r="B9" s="10">
        <f>IF('Order Side'!$G7, IF('Supply Side'!C7&gt;0, 'Supply Side'!C7, -'Supply Side'!C7*2), )</f>
        <v>10</v>
      </c>
      <c r="C9" s="27">
        <f>IF('Order Side'!$G7, IF('Supply Side'!F7&gt;0, 'Supply Side'!F7, -'Supply Side'!F7*2), )</f>
        <v>20</v>
      </c>
      <c r="D9" s="28">
        <f>IF('Order Side'!$G7, IF('Supply Side'!I7&gt;0, 'Supply Side'!I7, -'Supply Side'!I7*2), )</f>
        <v>20</v>
      </c>
      <c r="E9" s="29">
        <f>IF('Order Side'!$G7, IF('Supply Side'!L7&gt;0, 'Supply Side'!L7, -'Supply Side'!L7*2), )</f>
        <v>20</v>
      </c>
      <c r="G9" s="14">
        <f>IF('Order Side'!$G7, 'Supply Side'!C7, )</f>
        <v>-5</v>
      </c>
      <c r="H9" s="30">
        <f>IF('Order Side'!$G7, 'Supply Side'!F7, )</f>
        <v>20</v>
      </c>
      <c r="I9" s="31">
        <f>IF('Order Side'!$G7, 'Supply Side'!I7, )</f>
        <v>20</v>
      </c>
      <c r="J9" s="32">
        <f>IF('Order Side'!$G7, 'Supply Side'!L7, )</f>
        <v>20</v>
      </c>
      <c r="S9" s="2">
        <f t="shared" si="3"/>
        <v>6</v>
      </c>
      <c r="T9" s="33">
        <f t="shared" ref="T9:W9" si="10">SUM(B$4:B9)</f>
        <v>50</v>
      </c>
      <c r="U9" s="33">
        <f t="shared" si="10"/>
        <v>110</v>
      </c>
      <c r="V9" s="33">
        <f t="shared" si="10"/>
        <v>110</v>
      </c>
      <c r="W9" s="33">
        <f t="shared" si="10"/>
        <v>110</v>
      </c>
    </row>
    <row r="10" spans="1:26" x14ac:dyDescent="0.25">
      <c r="A10" s="2">
        <f t="shared" si="5"/>
        <v>7</v>
      </c>
      <c r="B10" s="10">
        <f>IF('Order Side'!$G8, IF('Supply Side'!C8&gt;0, 'Supply Side'!C8, -'Supply Side'!C8*2), )</f>
        <v>20</v>
      </c>
      <c r="C10" s="27">
        <f>IF('Order Side'!$G8, IF('Supply Side'!F8&gt;0, 'Supply Side'!F8, -'Supply Side'!F8*2), )</f>
        <v>20</v>
      </c>
      <c r="D10" s="28">
        <f>IF('Order Side'!$G8, IF('Supply Side'!I8&gt;0, 'Supply Side'!I8, -'Supply Side'!I8*2), )</f>
        <v>20</v>
      </c>
      <c r="E10" s="29">
        <f>IF('Order Side'!$G8, IF('Supply Side'!L8&gt;0, 'Supply Side'!L8, -'Supply Side'!L8*2), )</f>
        <v>20</v>
      </c>
      <c r="G10" s="14">
        <f>IF('Order Side'!$G8, 'Supply Side'!C8, )</f>
        <v>-10</v>
      </c>
      <c r="H10" s="30">
        <f>IF('Order Side'!$G8, 'Supply Side'!F8, )</f>
        <v>20</v>
      </c>
      <c r="I10" s="31">
        <f>IF('Order Side'!$G8, 'Supply Side'!I8, )</f>
        <v>20</v>
      </c>
      <c r="J10" s="32">
        <f>IF('Order Side'!$G8, 'Supply Side'!L8, )</f>
        <v>20</v>
      </c>
      <c r="S10" s="2">
        <f t="shared" si="3"/>
        <v>7</v>
      </c>
      <c r="T10" s="33">
        <f t="shared" ref="T10:W10" si="11">SUM(B$4:B10)</f>
        <v>70</v>
      </c>
      <c r="U10" s="33">
        <f t="shared" si="11"/>
        <v>130</v>
      </c>
      <c r="V10" s="33">
        <f t="shared" si="11"/>
        <v>130</v>
      </c>
      <c r="W10" s="33">
        <f t="shared" si="11"/>
        <v>130</v>
      </c>
    </row>
    <row r="11" spans="1:26" x14ac:dyDescent="0.25">
      <c r="A11" s="2">
        <f t="shared" si="5"/>
        <v>8</v>
      </c>
      <c r="B11" s="10">
        <f>IF('Order Side'!$G9, IF('Supply Side'!C9&gt;0, 'Supply Side'!C9, -'Supply Side'!C9*2), )</f>
        <v>30</v>
      </c>
      <c r="C11" s="27">
        <f>IF('Order Side'!$G9, IF('Supply Side'!F9&gt;0, 'Supply Side'!F9, -'Supply Side'!F9*2), )</f>
        <v>20</v>
      </c>
      <c r="D11" s="28">
        <f>IF('Order Side'!$G9, IF('Supply Side'!I9&gt;0, 'Supply Side'!I9, -'Supply Side'!I9*2), )</f>
        <v>20</v>
      </c>
      <c r="E11" s="29">
        <f>IF('Order Side'!$G9, IF('Supply Side'!L9&gt;0, 'Supply Side'!L9, -'Supply Side'!L9*2), )</f>
        <v>20</v>
      </c>
      <c r="G11" s="14">
        <f>IF('Order Side'!$G9, 'Supply Side'!C9, )</f>
        <v>-15</v>
      </c>
      <c r="H11" s="30">
        <f>IF('Order Side'!$G9, 'Supply Side'!F9, )</f>
        <v>20</v>
      </c>
      <c r="I11" s="31">
        <f>IF('Order Side'!$G9, 'Supply Side'!I9, )</f>
        <v>20</v>
      </c>
      <c r="J11" s="32">
        <f>IF('Order Side'!$G9, 'Supply Side'!L9, )</f>
        <v>20</v>
      </c>
      <c r="S11" s="2">
        <f t="shared" si="3"/>
        <v>8</v>
      </c>
      <c r="T11" s="33">
        <f t="shared" ref="T11:W11" si="12">SUM(B$4:B11)</f>
        <v>100</v>
      </c>
      <c r="U11" s="33">
        <f t="shared" si="12"/>
        <v>150</v>
      </c>
      <c r="V11" s="33">
        <f t="shared" si="12"/>
        <v>150</v>
      </c>
      <c r="W11" s="33">
        <f t="shared" si="12"/>
        <v>150</v>
      </c>
    </row>
    <row r="12" spans="1:26" x14ac:dyDescent="0.25">
      <c r="A12" s="2">
        <f t="shared" si="5"/>
        <v>9</v>
      </c>
      <c r="B12" s="10">
        <f>IF('Order Side'!$G10, IF('Supply Side'!C10&gt;0, 'Supply Side'!C10, -'Supply Side'!C10*2), )</f>
        <v>40</v>
      </c>
      <c r="C12" s="27">
        <f>IF('Order Side'!$G10, IF('Supply Side'!F10&gt;0, 'Supply Side'!F10, -'Supply Side'!F10*2), )</f>
        <v>20</v>
      </c>
      <c r="D12" s="28">
        <f>IF('Order Side'!$G10, IF('Supply Side'!I10&gt;0, 'Supply Side'!I10, -'Supply Side'!I10*2), )</f>
        <v>20</v>
      </c>
      <c r="E12" s="29">
        <f>IF('Order Side'!$G10, IF('Supply Side'!L10&gt;0, 'Supply Side'!L10, -'Supply Side'!L10*2), )</f>
        <v>20</v>
      </c>
      <c r="G12" s="14">
        <f>IF('Order Side'!$G10, 'Supply Side'!C10, )</f>
        <v>-20</v>
      </c>
      <c r="H12" s="30">
        <f>IF('Order Side'!$G10, 'Supply Side'!F10, )</f>
        <v>20</v>
      </c>
      <c r="I12" s="31">
        <f>IF('Order Side'!$G10, 'Supply Side'!I10, )</f>
        <v>20</v>
      </c>
      <c r="J12" s="32">
        <f>IF('Order Side'!$G10, 'Supply Side'!L10, )</f>
        <v>20</v>
      </c>
      <c r="S12" s="2">
        <f t="shared" si="3"/>
        <v>9</v>
      </c>
      <c r="T12" s="33">
        <f t="shared" ref="T12:W12" si="13">SUM(B$4:B12)</f>
        <v>140</v>
      </c>
      <c r="U12" s="33">
        <f t="shared" si="13"/>
        <v>170</v>
      </c>
      <c r="V12" s="33">
        <f t="shared" si="13"/>
        <v>170</v>
      </c>
      <c r="W12" s="33">
        <f t="shared" si="13"/>
        <v>170</v>
      </c>
    </row>
    <row r="13" spans="1:26" x14ac:dyDescent="0.25">
      <c r="A13" s="2">
        <f t="shared" si="5"/>
        <v>10</v>
      </c>
      <c r="B13" s="10">
        <f>IF('Order Side'!$G11, IF('Supply Side'!C11&gt;0, 'Supply Side'!C11, -'Supply Side'!C11*2), )</f>
        <v>50</v>
      </c>
      <c r="C13" s="27">
        <f>IF('Order Side'!$G11, IF('Supply Side'!F11&gt;0, 'Supply Side'!F11, -'Supply Side'!F11*2), )</f>
        <v>20</v>
      </c>
      <c r="D13" s="28">
        <f>IF('Order Side'!$G11, IF('Supply Side'!I11&gt;0, 'Supply Side'!I11, -'Supply Side'!I11*2), )</f>
        <v>20</v>
      </c>
      <c r="E13" s="29">
        <f>IF('Order Side'!$G11, IF('Supply Side'!L11&gt;0, 'Supply Side'!L11, -'Supply Side'!L11*2), )</f>
        <v>20</v>
      </c>
      <c r="G13" s="14">
        <f>IF('Order Side'!$G11, 'Supply Side'!C11, )</f>
        <v>-25</v>
      </c>
      <c r="H13" s="30">
        <f>IF('Order Side'!$G11, 'Supply Side'!F11, )</f>
        <v>20</v>
      </c>
      <c r="I13" s="31">
        <f>IF('Order Side'!$G11, 'Supply Side'!I11, )</f>
        <v>20</v>
      </c>
      <c r="J13" s="32">
        <f>IF('Order Side'!$G11, 'Supply Side'!L11, )</f>
        <v>20</v>
      </c>
      <c r="S13" s="2">
        <f t="shared" si="3"/>
        <v>10</v>
      </c>
      <c r="T13" s="33">
        <f t="shared" ref="T13:W13" si="14">SUM(B$4:B13)</f>
        <v>190</v>
      </c>
      <c r="U13" s="33">
        <f t="shared" si="14"/>
        <v>190</v>
      </c>
      <c r="V13" s="33">
        <f t="shared" si="14"/>
        <v>190</v>
      </c>
      <c r="W13" s="33">
        <f t="shared" si="14"/>
        <v>190</v>
      </c>
    </row>
    <row r="14" spans="1:26" x14ac:dyDescent="0.25">
      <c r="A14" s="2">
        <f t="shared" si="5"/>
        <v>11</v>
      </c>
      <c r="B14" s="10">
        <f ca="1">IF('Order Side'!$G12, IF('Supply Side'!C12&gt;0, 'Supply Side'!C12, -'Supply Side'!C12*2), )</f>
        <v>74</v>
      </c>
      <c r="C14" s="27">
        <f>IF('Order Side'!$G12, IF('Supply Side'!F12&gt;0, 'Supply Side'!F12, -'Supply Side'!F12*2), )</f>
        <v>20</v>
      </c>
      <c r="D14" s="28">
        <f>IF('Order Side'!$G12, IF('Supply Side'!I12&gt;0, 'Supply Side'!I12, -'Supply Side'!I12*2), )</f>
        <v>20</v>
      </c>
      <c r="E14" s="29">
        <f>IF('Order Side'!$G12, IF('Supply Side'!L12&gt;0, 'Supply Side'!L12, -'Supply Side'!L12*2), )</f>
        <v>20</v>
      </c>
      <c r="G14" s="14">
        <f ca="1">IF('Order Side'!$G12, 'Supply Side'!C12, )</f>
        <v>-37</v>
      </c>
      <c r="H14" s="30">
        <f>IF('Order Side'!$G12, 'Supply Side'!F12, )</f>
        <v>20</v>
      </c>
      <c r="I14" s="31">
        <f>IF('Order Side'!$G12, 'Supply Side'!I12, )</f>
        <v>20</v>
      </c>
      <c r="J14" s="32">
        <f>IF('Order Side'!$G12, 'Supply Side'!L12, )</f>
        <v>20</v>
      </c>
      <c r="S14" s="2">
        <f t="shared" si="3"/>
        <v>11</v>
      </c>
      <c r="T14" s="33">
        <f t="shared" ref="T14:W14" ca="1" si="15">SUM(B$4:B14)</f>
        <v>264</v>
      </c>
      <c r="U14" s="33">
        <f t="shared" si="15"/>
        <v>210</v>
      </c>
      <c r="V14" s="33">
        <f t="shared" si="15"/>
        <v>210</v>
      </c>
      <c r="W14" s="33">
        <f t="shared" si="15"/>
        <v>210</v>
      </c>
    </row>
    <row r="15" spans="1:26" x14ac:dyDescent="0.25">
      <c r="A15" s="2">
        <f t="shared" si="5"/>
        <v>12</v>
      </c>
      <c r="B15" s="10">
        <f ca="1">IF('Order Side'!$G13, IF('Supply Side'!C13&gt;0, 'Supply Side'!C13, -'Supply Side'!C13*2), )</f>
        <v>90</v>
      </c>
      <c r="C15" s="27">
        <f>IF('Order Side'!$G13, IF('Supply Side'!F13&gt;0, 'Supply Side'!F13, -'Supply Side'!F13*2), )</f>
        <v>20</v>
      </c>
      <c r="D15" s="28">
        <f>IF('Order Side'!$G13, IF('Supply Side'!I13&gt;0, 'Supply Side'!I13, -'Supply Side'!I13*2), )</f>
        <v>20</v>
      </c>
      <c r="E15" s="29">
        <f>IF('Order Side'!$G13, IF('Supply Side'!L13&gt;0, 'Supply Side'!L13, -'Supply Side'!L13*2), )</f>
        <v>20</v>
      </c>
      <c r="G15" s="14">
        <f ca="1">IF('Order Side'!$G13, 'Supply Side'!C13, )</f>
        <v>-45</v>
      </c>
      <c r="H15" s="30">
        <f>IF('Order Side'!$G13, 'Supply Side'!F13, )</f>
        <v>20</v>
      </c>
      <c r="I15" s="31">
        <f>IF('Order Side'!$G13, 'Supply Side'!I13, )</f>
        <v>20</v>
      </c>
      <c r="J15" s="32">
        <f>IF('Order Side'!$G13, 'Supply Side'!L13, )</f>
        <v>20</v>
      </c>
      <c r="S15" s="2">
        <f t="shared" si="3"/>
        <v>12</v>
      </c>
      <c r="T15" s="33">
        <f t="shared" ref="T15:W15" ca="1" si="16">SUM(B$4:B15)</f>
        <v>354</v>
      </c>
      <c r="U15" s="33">
        <f t="shared" si="16"/>
        <v>230</v>
      </c>
      <c r="V15" s="33">
        <f t="shared" si="16"/>
        <v>230</v>
      </c>
      <c r="W15" s="33">
        <f t="shared" si="16"/>
        <v>230</v>
      </c>
    </row>
    <row r="16" spans="1:26" x14ac:dyDescent="0.25">
      <c r="A16" s="2">
        <f t="shared" si="5"/>
        <v>13</v>
      </c>
      <c r="B16" s="10">
        <f ca="1">IF('Order Side'!$G14, IF('Supply Side'!C14&gt;0, 'Supply Side'!C14, -'Supply Side'!C14*2), )</f>
        <v>114</v>
      </c>
      <c r="C16" s="27">
        <f>IF('Order Side'!$G14, IF('Supply Side'!F14&gt;0, 'Supply Side'!F14, -'Supply Side'!F14*2), )</f>
        <v>20</v>
      </c>
      <c r="D16" s="28">
        <f>IF('Order Side'!$G14, IF('Supply Side'!I14&gt;0, 'Supply Side'!I14, -'Supply Side'!I14*2), )</f>
        <v>20</v>
      </c>
      <c r="E16" s="29">
        <f>IF('Order Side'!$G14, IF('Supply Side'!L14&gt;0, 'Supply Side'!L14, -'Supply Side'!L14*2), )</f>
        <v>20</v>
      </c>
      <c r="G16" s="14">
        <f ca="1">IF('Order Side'!$G14, 'Supply Side'!C14, )</f>
        <v>-57</v>
      </c>
      <c r="H16" s="30">
        <f>IF('Order Side'!$G14, 'Supply Side'!F14, )</f>
        <v>20</v>
      </c>
      <c r="I16" s="31">
        <f>IF('Order Side'!$G14, 'Supply Side'!I14, )</f>
        <v>20</v>
      </c>
      <c r="J16" s="32">
        <f>IF('Order Side'!$G14, 'Supply Side'!L14, )</f>
        <v>20</v>
      </c>
      <c r="S16" s="2">
        <f t="shared" si="3"/>
        <v>13</v>
      </c>
      <c r="T16" s="33">
        <f t="shared" ref="T16:W16" ca="1" si="17">SUM(B$4:B16)</f>
        <v>468</v>
      </c>
      <c r="U16" s="33">
        <f t="shared" si="17"/>
        <v>250</v>
      </c>
      <c r="V16" s="33">
        <f t="shared" si="17"/>
        <v>250</v>
      </c>
      <c r="W16" s="33">
        <f t="shared" si="17"/>
        <v>250</v>
      </c>
    </row>
    <row r="17" spans="1:23" x14ac:dyDescent="0.25">
      <c r="A17" s="2">
        <f t="shared" si="5"/>
        <v>14</v>
      </c>
      <c r="B17" s="10">
        <f ca="1">IF('Order Side'!$G15, IF('Supply Side'!C15&gt;0, 'Supply Side'!C15, -'Supply Side'!C15*2), )</f>
        <v>138</v>
      </c>
      <c r="C17" s="27">
        <f>IF('Order Side'!$G15, IF('Supply Side'!F15&gt;0, 'Supply Side'!F15, -'Supply Side'!F15*2), )</f>
        <v>20</v>
      </c>
      <c r="D17" s="28">
        <f>IF('Order Side'!$G15, IF('Supply Side'!I15&gt;0, 'Supply Side'!I15, -'Supply Side'!I15*2), )</f>
        <v>20</v>
      </c>
      <c r="E17" s="29">
        <f>IF('Order Side'!$G15, IF('Supply Side'!L15&gt;0, 'Supply Side'!L15, -'Supply Side'!L15*2), )</f>
        <v>20</v>
      </c>
      <c r="G17" s="14">
        <f ca="1">IF('Order Side'!$G15, 'Supply Side'!C15, )</f>
        <v>-69</v>
      </c>
      <c r="H17" s="30">
        <f>IF('Order Side'!$G15, 'Supply Side'!F15, )</f>
        <v>20</v>
      </c>
      <c r="I17" s="31">
        <f>IF('Order Side'!$G15, 'Supply Side'!I15, )</f>
        <v>20</v>
      </c>
      <c r="J17" s="32">
        <f>IF('Order Side'!$G15, 'Supply Side'!L15, )</f>
        <v>20</v>
      </c>
      <c r="S17" s="2">
        <f t="shared" si="3"/>
        <v>14</v>
      </c>
      <c r="T17" s="33">
        <f t="shared" ref="T17:W17" ca="1" si="18">SUM(B$4:B17)</f>
        <v>606</v>
      </c>
      <c r="U17" s="33">
        <f t="shared" si="18"/>
        <v>270</v>
      </c>
      <c r="V17" s="33">
        <f t="shared" si="18"/>
        <v>270</v>
      </c>
      <c r="W17" s="33">
        <f t="shared" si="18"/>
        <v>270</v>
      </c>
    </row>
    <row r="18" spans="1:23" x14ac:dyDescent="0.25">
      <c r="A18" s="2">
        <f t="shared" si="5"/>
        <v>15</v>
      </c>
      <c r="B18" s="10">
        <f ca="1">IF('Order Side'!$G16, IF('Supply Side'!C16&gt;0, 'Supply Side'!C16, -'Supply Side'!C16*2), )</f>
        <v>162</v>
      </c>
      <c r="C18" s="27">
        <f>IF('Order Side'!$G16, IF('Supply Side'!F16&gt;0, 'Supply Side'!F16, -'Supply Side'!F16*2), )</f>
        <v>20</v>
      </c>
      <c r="D18" s="28">
        <f>IF('Order Side'!$G16, IF('Supply Side'!I16&gt;0, 'Supply Side'!I16, -'Supply Side'!I16*2), )</f>
        <v>20</v>
      </c>
      <c r="E18" s="29">
        <f>IF('Order Side'!$G16, IF('Supply Side'!L16&gt;0, 'Supply Side'!L16, -'Supply Side'!L16*2), )</f>
        <v>20</v>
      </c>
      <c r="G18" s="14">
        <f ca="1">IF('Order Side'!$G16, 'Supply Side'!C16, )</f>
        <v>-81</v>
      </c>
      <c r="H18" s="30">
        <f>IF('Order Side'!$G16, 'Supply Side'!F16, )</f>
        <v>20</v>
      </c>
      <c r="I18" s="31">
        <f>IF('Order Side'!$G16, 'Supply Side'!I16, )</f>
        <v>20</v>
      </c>
      <c r="J18" s="32">
        <f>IF('Order Side'!$G16, 'Supply Side'!L16, )</f>
        <v>20</v>
      </c>
      <c r="S18" s="2">
        <f t="shared" si="3"/>
        <v>15</v>
      </c>
      <c r="T18" s="33">
        <f t="shared" ref="T18:W18" ca="1" si="19">SUM(B$4:B18)</f>
        <v>768</v>
      </c>
      <c r="U18" s="33">
        <f t="shared" si="19"/>
        <v>290</v>
      </c>
      <c r="V18" s="33">
        <f t="shared" si="19"/>
        <v>290</v>
      </c>
      <c r="W18" s="33">
        <f t="shared" si="19"/>
        <v>290</v>
      </c>
    </row>
    <row r="19" spans="1:23" x14ac:dyDescent="0.25">
      <c r="A19" s="2">
        <f t="shared" si="5"/>
        <v>16</v>
      </c>
      <c r="B19" s="10">
        <f ca="1">IF('Order Side'!$G17, IF('Supply Side'!C17&gt;0, 'Supply Side'!C17, -'Supply Side'!C17*2), )</f>
        <v>186</v>
      </c>
      <c r="C19" s="27">
        <f>IF('Order Side'!$G17, IF('Supply Side'!F17&gt;0, 'Supply Side'!F17, -'Supply Side'!F17*2), )</f>
        <v>20</v>
      </c>
      <c r="D19" s="28">
        <f>IF('Order Side'!$G17, IF('Supply Side'!I17&gt;0, 'Supply Side'!I17, -'Supply Side'!I17*2), )</f>
        <v>20</v>
      </c>
      <c r="E19" s="29">
        <f>IF('Order Side'!$G17, IF('Supply Side'!L17&gt;0, 'Supply Side'!L17, -'Supply Side'!L17*2), )</f>
        <v>20</v>
      </c>
      <c r="G19" s="14">
        <f ca="1">IF('Order Side'!$G17, 'Supply Side'!C17, )</f>
        <v>-93</v>
      </c>
      <c r="H19" s="30">
        <f>IF('Order Side'!$G17, 'Supply Side'!F17, )</f>
        <v>20</v>
      </c>
      <c r="I19" s="31">
        <f>IF('Order Side'!$G17, 'Supply Side'!I17, )</f>
        <v>20</v>
      </c>
      <c r="J19" s="32">
        <f>IF('Order Side'!$G17, 'Supply Side'!L17, )</f>
        <v>20</v>
      </c>
      <c r="S19" s="2">
        <f t="shared" si="3"/>
        <v>16</v>
      </c>
      <c r="T19" s="33">
        <f t="shared" ref="T19:W19" ca="1" si="20">SUM(B$4:B19)</f>
        <v>954</v>
      </c>
      <c r="U19" s="33">
        <f t="shared" si="20"/>
        <v>310</v>
      </c>
      <c r="V19" s="33">
        <f t="shared" si="20"/>
        <v>310</v>
      </c>
      <c r="W19" s="33">
        <f t="shared" si="20"/>
        <v>310</v>
      </c>
    </row>
    <row r="20" spans="1:23" x14ac:dyDescent="0.25">
      <c r="A20" s="2">
        <f t="shared" si="5"/>
        <v>17</v>
      </c>
      <c r="B20" s="10">
        <f ca="1">IF('Order Side'!$G18, IF('Supply Side'!C18&gt;0, 'Supply Side'!C18, -'Supply Side'!C18*2), )</f>
        <v>210</v>
      </c>
      <c r="C20" s="27">
        <f>IF('Order Side'!$G18, IF('Supply Side'!F18&gt;0, 'Supply Side'!F18, -'Supply Side'!F18*2), )</f>
        <v>20</v>
      </c>
      <c r="D20" s="28">
        <f>IF('Order Side'!$G18, IF('Supply Side'!I18&gt;0, 'Supply Side'!I18, -'Supply Side'!I18*2), )</f>
        <v>20</v>
      </c>
      <c r="E20" s="29">
        <f>IF('Order Side'!$G18, IF('Supply Side'!L18&gt;0, 'Supply Side'!L18, -'Supply Side'!L18*2), )</f>
        <v>20</v>
      </c>
      <c r="G20" s="14">
        <f ca="1">IF('Order Side'!$G18, 'Supply Side'!C18, )</f>
        <v>-105</v>
      </c>
      <c r="H20" s="30">
        <f>IF('Order Side'!$G18, 'Supply Side'!F18, )</f>
        <v>20</v>
      </c>
      <c r="I20" s="31">
        <f>IF('Order Side'!$G18, 'Supply Side'!I18, )</f>
        <v>20</v>
      </c>
      <c r="J20" s="32">
        <f>IF('Order Side'!$G18, 'Supply Side'!L18, )</f>
        <v>20</v>
      </c>
      <c r="S20" s="2">
        <f t="shared" si="3"/>
        <v>17</v>
      </c>
      <c r="T20" s="33">
        <f t="shared" ref="T20:W20" ca="1" si="21">SUM(B$4:B20)</f>
        <v>1164</v>
      </c>
      <c r="U20" s="33">
        <f t="shared" si="21"/>
        <v>330</v>
      </c>
      <c r="V20" s="33">
        <f t="shared" si="21"/>
        <v>330</v>
      </c>
      <c r="W20" s="33">
        <f t="shared" si="21"/>
        <v>330</v>
      </c>
    </row>
    <row r="21" spans="1:23" x14ac:dyDescent="0.25">
      <c r="A21" s="2">
        <f t="shared" si="5"/>
        <v>18</v>
      </c>
      <c r="B21" s="10">
        <f ca="1">IF('Order Side'!$G19, IF('Supply Side'!C19&gt;0, 'Supply Side'!C19, -'Supply Side'!C19*2), )</f>
        <v>234</v>
      </c>
      <c r="C21" s="27">
        <f>IF('Order Side'!$G19, IF('Supply Side'!F19&gt;0, 'Supply Side'!F19, -'Supply Side'!F19*2), )</f>
        <v>20</v>
      </c>
      <c r="D21" s="28">
        <f>IF('Order Side'!$G19, IF('Supply Side'!I19&gt;0, 'Supply Side'!I19, -'Supply Side'!I19*2), )</f>
        <v>20</v>
      </c>
      <c r="E21" s="29">
        <f>IF('Order Side'!$G19, IF('Supply Side'!L19&gt;0, 'Supply Side'!L19, -'Supply Side'!L19*2), )</f>
        <v>20</v>
      </c>
      <c r="G21" s="14">
        <f ca="1">IF('Order Side'!$G19, 'Supply Side'!C19, )</f>
        <v>-117</v>
      </c>
      <c r="H21" s="30">
        <f>IF('Order Side'!$G19, 'Supply Side'!F19, )</f>
        <v>20</v>
      </c>
      <c r="I21" s="31">
        <f>IF('Order Side'!$G19, 'Supply Side'!I19, )</f>
        <v>20</v>
      </c>
      <c r="J21" s="32">
        <f>IF('Order Side'!$G19, 'Supply Side'!L19, )</f>
        <v>20</v>
      </c>
      <c r="S21" s="2">
        <f t="shared" si="3"/>
        <v>18</v>
      </c>
      <c r="T21" s="33">
        <f t="shared" ref="T21:W21" ca="1" si="22">SUM(B$4:B21)</f>
        <v>1398</v>
      </c>
      <c r="U21" s="33">
        <f t="shared" si="22"/>
        <v>350</v>
      </c>
      <c r="V21" s="33">
        <f t="shared" si="22"/>
        <v>350</v>
      </c>
      <c r="W21" s="33">
        <f t="shared" si="22"/>
        <v>350</v>
      </c>
    </row>
    <row r="22" spans="1:23" x14ac:dyDescent="0.25">
      <c r="A22" s="2">
        <f t="shared" si="5"/>
        <v>19</v>
      </c>
      <c r="B22" s="10">
        <f ca="1">IF('Order Side'!$G20, IF('Supply Side'!C20&gt;0, 'Supply Side'!C20, -'Supply Side'!C20*2), )</f>
        <v>258</v>
      </c>
      <c r="C22" s="27">
        <f>IF('Order Side'!$G20, IF('Supply Side'!F20&gt;0, 'Supply Side'!F20, -'Supply Side'!F20*2), )</f>
        <v>20</v>
      </c>
      <c r="D22" s="28">
        <f>IF('Order Side'!$G20, IF('Supply Side'!I20&gt;0, 'Supply Side'!I20, -'Supply Side'!I20*2), )</f>
        <v>20</v>
      </c>
      <c r="E22" s="29">
        <f>IF('Order Side'!$G20, IF('Supply Side'!L20&gt;0, 'Supply Side'!L20, -'Supply Side'!L20*2), )</f>
        <v>20</v>
      </c>
      <c r="G22" s="14">
        <f ca="1">IF('Order Side'!$G20, 'Supply Side'!C20, )</f>
        <v>-129</v>
      </c>
      <c r="H22" s="30">
        <f>IF('Order Side'!$G20, 'Supply Side'!F20, )</f>
        <v>20</v>
      </c>
      <c r="I22" s="31">
        <f>IF('Order Side'!$G20, 'Supply Side'!I20, )</f>
        <v>20</v>
      </c>
      <c r="J22" s="32">
        <f>IF('Order Side'!$G20, 'Supply Side'!L20, )</f>
        <v>20</v>
      </c>
      <c r="S22" s="2">
        <f t="shared" si="3"/>
        <v>19</v>
      </c>
      <c r="T22" s="33">
        <f t="shared" ref="T22:W22" ca="1" si="23">SUM(B$4:B22)</f>
        <v>1656</v>
      </c>
      <c r="U22" s="33">
        <f t="shared" si="23"/>
        <v>370</v>
      </c>
      <c r="V22" s="33">
        <f t="shared" si="23"/>
        <v>370</v>
      </c>
      <c r="W22" s="33">
        <f t="shared" si="23"/>
        <v>370</v>
      </c>
    </row>
    <row r="23" spans="1:23" x14ac:dyDescent="0.25">
      <c r="A23" s="2">
        <f t="shared" si="5"/>
        <v>20</v>
      </c>
      <c r="B23" s="10">
        <f ca="1">IF('Order Side'!$G21, IF('Supply Side'!C21&gt;0, 'Supply Side'!C21, -'Supply Side'!C21*2), )</f>
        <v>282</v>
      </c>
      <c r="C23" s="27">
        <f>IF('Order Side'!$G21, IF('Supply Side'!F21&gt;0, 'Supply Side'!F21, -'Supply Side'!F21*2), )</f>
        <v>20</v>
      </c>
      <c r="D23" s="28">
        <f>IF('Order Side'!$G21, IF('Supply Side'!I21&gt;0, 'Supply Side'!I21, -'Supply Side'!I21*2), )</f>
        <v>20</v>
      </c>
      <c r="E23" s="29">
        <f>IF('Order Side'!$G21, IF('Supply Side'!L21&gt;0, 'Supply Side'!L21, -'Supply Side'!L21*2), )</f>
        <v>20</v>
      </c>
      <c r="G23" s="14">
        <f ca="1">IF('Order Side'!$G21, 'Supply Side'!C21, )</f>
        <v>-141</v>
      </c>
      <c r="H23" s="30">
        <f>IF('Order Side'!$G21, 'Supply Side'!F21, )</f>
        <v>20</v>
      </c>
      <c r="I23" s="31">
        <f>IF('Order Side'!$G21, 'Supply Side'!I21, )</f>
        <v>20</v>
      </c>
      <c r="J23" s="32">
        <f>IF('Order Side'!$G21, 'Supply Side'!L21, )</f>
        <v>20</v>
      </c>
      <c r="S23" s="2">
        <f t="shared" si="3"/>
        <v>20</v>
      </c>
      <c r="T23" s="33">
        <f t="shared" ref="T23:W23" ca="1" si="24">SUM(B$4:B23)</f>
        <v>1938</v>
      </c>
      <c r="U23" s="33">
        <f t="shared" si="24"/>
        <v>390</v>
      </c>
      <c r="V23" s="33">
        <f t="shared" si="24"/>
        <v>390</v>
      </c>
      <c r="W23" s="33">
        <f t="shared" si="24"/>
        <v>390</v>
      </c>
    </row>
    <row r="24" spans="1:23" x14ac:dyDescent="0.25">
      <c r="A24" s="2">
        <f t="shared" si="5"/>
        <v>21</v>
      </c>
      <c r="B24" s="10">
        <f ca="1">IF('Order Side'!$G22, IF('Supply Side'!C22&gt;0, 'Supply Side'!C22, -'Supply Side'!C22*2), )</f>
        <v>306</v>
      </c>
      <c r="C24" s="27">
        <f>IF('Order Side'!$G22, IF('Supply Side'!F22&gt;0, 'Supply Side'!F22, -'Supply Side'!F22*2), )</f>
        <v>20</v>
      </c>
      <c r="D24" s="28">
        <f>IF('Order Side'!$G22, IF('Supply Side'!I22&gt;0, 'Supply Side'!I22, -'Supply Side'!I22*2), )</f>
        <v>20</v>
      </c>
      <c r="E24" s="29">
        <f>IF('Order Side'!$G22, IF('Supply Side'!L22&gt;0, 'Supply Side'!L22, -'Supply Side'!L22*2), )</f>
        <v>20</v>
      </c>
      <c r="G24" s="14">
        <f ca="1">IF('Order Side'!$G22, 'Supply Side'!C22, )</f>
        <v>-153</v>
      </c>
      <c r="H24" s="30">
        <f>IF('Order Side'!$G22, 'Supply Side'!F22, )</f>
        <v>20</v>
      </c>
      <c r="I24" s="31">
        <f>IF('Order Side'!$G22, 'Supply Side'!I22, )</f>
        <v>20</v>
      </c>
      <c r="J24" s="32">
        <f>IF('Order Side'!$G22, 'Supply Side'!L22, )</f>
        <v>20</v>
      </c>
      <c r="S24" s="2">
        <f t="shared" si="3"/>
        <v>21</v>
      </c>
      <c r="T24" s="33">
        <f t="shared" ref="T24:W24" ca="1" si="25">SUM(B$4:B24)</f>
        <v>2244</v>
      </c>
      <c r="U24" s="33">
        <f t="shared" si="25"/>
        <v>410</v>
      </c>
      <c r="V24" s="33">
        <f t="shared" si="25"/>
        <v>410</v>
      </c>
      <c r="W24" s="33">
        <f t="shared" si="25"/>
        <v>410</v>
      </c>
    </row>
    <row r="25" spans="1:23" x14ac:dyDescent="0.25">
      <c r="A25" s="2">
        <f t="shared" si="5"/>
        <v>22</v>
      </c>
      <c r="B25" s="10">
        <f ca="1">IF('Order Side'!$G23, IF('Supply Side'!C23&gt;0, 'Supply Side'!C23, -'Supply Side'!C23*2), )</f>
        <v>330</v>
      </c>
      <c r="C25" s="27">
        <f>IF('Order Side'!$G23, IF('Supply Side'!F23&gt;0, 'Supply Side'!F23, -'Supply Side'!F23*2), )</f>
        <v>20</v>
      </c>
      <c r="D25" s="28">
        <f>IF('Order Side'!$G23, IF('Supply Side'!I23&gt;0, 'Supply Side'!I23, -'Supply Side'!I23*2), )</f>
        <v>20</v>
      </c>
      <c r="E25" s="29">
        <f>IF('Order Side'!$G23, IF('Supply Side'!L23&gt;0, 'Supply Side'!L23, -'Supply Side'!L23*2), )</f>
        <v>20</v>
      </c>
      <c r="G25" s="14">
        <f ca="1">IF('Order Side'!$G23, 'Supply Side'!C23, )</f>
        <v>-165</v>
      </c>
      <c r="H25" s="30">
        <f>IF('Order Side'!$G23, 'Supply Side'!F23, )</f>
        <v>20</v>
      </c>
      <c r="I25" s="31">
        <f>IF('Order Side'!$G23, 'Supply Side'!I23, )</f>
        <v>20</v>
      </c>
      <c r="J25" s="32">
        <f>IF('Order Side'!$G23, 'Supply Side'!L23, )</f>
        <v>20</v>
      </c>
      <c r="S25" s="2">
        <f t="shared" si="3"/>
        <v>22</v>
      </c>
      <c r="T25" s="33">
        <f t="shared" ref="T25:W25" ca="1" si="26">SUM(B$4:B25)</f>
        <v>2574</v>
      </c>
      <c r="U25" s="33">
        <f t="shared" si="26"/>
        <v>430</v>
      </c>
      <c r="V25" s="33">
        <f t="shared" si="26"/>
        <v>430</v>
      </c>
      <c r="W25" s="33">
        <f t="shared" si="26"/>
        <v>430</v>
      </c>
    </row>
    <row r="26" spans="1:23" x14ac:dyDescent="0.25">
      <c r="A26" s="2">
        <f t="shared" si="5"/>
        <v>23</v>
      </c>
      <c r="B26" s="10">
        <f ca="1">IF('Order Side'!$G24, IF('Supply Side'!C24&gt;0, 'Supply Side'!C24, -'Supply Side'!C24*2), )</f>
        <v>354</v>
      </c>
      <c r="C26" s="27">
        <f>IF('Order Side'!$G24, IF('Supply Side'!F24&gt;0, 'Supply Side'!F24, -'Supply Side'!F24*2), )</f>
        <v>20</v>
      </c>
      <c r="D26" s="28">
        <f>IF('Order Side'!$G24, IF('Supply Side'!I24&gt;0, 'Supply Side'!I24, -'Supply Side'!I24*2), )</f>
        <v>20</v>
      </c>
      <c r="E26" s="29">
        <f>IF('Order Side'!$G24, IF('Supply Side'!L24&gt;0, 'Supply Side'!L24, -'Supply Side'!L24*2), )</f>
        <v>20</v>
      </c>
      <c r="G26" s="14">
        <f ca="1">IF('Order Side'!$G24, 'Supply Side'!C24, )</f>
        <v>-177</v>
      </c>
      <c r="H26" s="30">
        <f>IF('Order Side'!$G24, 'Supply Side'!F24, )</f>
        <v>20</v>
      </c>
      <c r="I26" s="31">
        <f>IF('Order Side'!$G24, 'Supply Side'!I24, )</f>
        <v>20</v>
      </c>
      <c r="J26" s="32">
        <f>IF('Order Side'!$G24, 'Supply Side'!L24, )</f>
        <v>20</v>
      </c>
      <c r="S26" s="2">
        <f t="shared" si="3"/>
        <v>23</v>
      </c>
      <c r="T26" s="33">
        <f t="shared" ref="T26:W26" ca="1" si="27">SUM(B$4:B26)</f>
        <v>2928</v>
      </c>
      <c r="U26" s="33">
        <f t="shared" si="27"/>
        <v>450</v>
      </c>
      <c r="V26" s="33">
        <f t="shared" si="27"/>
        <v>450</v>
      </c>
      <c r="W26" s="33">
        <f t="shared" si="27"/>
        <v>450</v>
      </c>
    </row>
    <row r="27" spans="1:23" x14ac:dyDescent="0.25">
      <c r="A27" s="2">
        <f t="shared" si="5"/>
        <v>24</v>
      </c>
      <c r="B27" s="10">
        <f ca="1">IF('Order Side'!$G25, IF('Supply Side'!C25&gt;0, 'Supply Side'!C25, -'Supply Side'!C25*2), )</f>
        <v>378</v>
      </c>
      <c r="C27" s="27">
        <f>IF('Order Side'!$G25, IF('Supply Side'!F25&gt;0, 'Supply Side'!F25, -'Supply Side'!F25*2), )</f>
        <v>20</v>
      </c>
      <c r="D27" s="28">
        <f>IF('Order Side'!$G25, IF('Supply Side'!I25&gt;0, 'Supply Side'!I25, -'Supply Side'!I25*2), )</f>
        <v>20</v>
      </c>
      <c r="E27" s="29">
        <f>IF('Order Side'!$G25, IF('Supply Side'!L25&gt;0, 'Supply Side'!L25, -'Supply Side'!L25*2), )</f>
        <v>20</v>
      </c>
      <c r="G27" s="14">
        <f ca="1">IF('Order Side'!$G25, 'Supply Side'!C25, )</f>
        <v>-189</v>
      </c>
      <c r="H27" s="30">
        <f>IF('Order Side'!$G25, 'Supply Side'!F25, )</f>
        <v>20</v>
      </c>
      <c r="I27" s="31">
        <f>IF('Order Side'!$G25, 'Supply Side'!I25, )</f>
        <v>20</v>
      </c>
      <c r="J27" s="32">
        <f>IF('Order Side'!$G25, 'Supply Side'!L25, )</f>
        <v>20</v>
      </c>
      <c r="S27" s="2">
        <f t="shared" si="3"/>
        <v>24</v>
      </c>
      <c r="T27" s="33">
        <f t="shared" ref="T27:W27" ca="1" si="28">SUM(B$4:B27)</f>
        <v>3306</v>
      </c>
      <c r="U27" s="33">
        <f t="shared" si="28"/>
        <v>470</v>
      </c>
      <c r="V27" s="33">
        <f t="shared" si="28"/>
        <v>470</v>
      </c>
      <c r="W27" s="33">
        <f t="shared" si="28"/>
        <v>470</v>
      </c>
    </row>
    <row r="28" spans="1:23" x14ac:dyDescent="0.25">
      <c r="A28" s="2">
        <f t="shared" si="5"/>
        <v>25</v>
      </c>
      <c r="B28" s="10">
        <f ca="1">IF('Order Side'!$G26, IF('Supply Side'!C26&gt;0, 'Supply Side'!C26, -'Supply Side'!C26*2), )</f>
        <v>402</v>
      </c>
      <c r="C28" s="27">
        <f>IF('Order Side'!$G26, IF('Supply Side'!F26&gt;0, 'Supply Side'!F26, -'Supply Side'!F26*2), )</f>
        <v>20</v>
      </c>
      <c r="D28" s="28">
        <f>IF('Order Side'!$G26, IF('Supply Side'!I26&gt;0, 'Supply Side'!I26, -'Supply Side'!I26*2), )</f>
        <v>20</v>
      </c>
      <c r="E28" s="29">
        <f>IF('Order Side'!$G26, IF('Supply Side'!L26&gt;0, 'Supply Side'!L26, -'Supply Side'!L26*2), )</f>
        <v>20</v>
      </c>
      <c r="G28" s="14">
        <f ca="1">IF('Order Side'!$G26, 'Supply Side'!C26, )</f>
        <v>-201</v>
      </c>
      <c r="H28" s="30">
        <f>IF('Order Side'!$G26, 'Supply Side'!F26, )</f>
        <v>20</v>
      </c>
      <c r="I28" s="31">
        <f>IF('Order Side'!$G26, 'Supply Side'!I26, )</f>
        <v>20</v>
      </c>
      <c r="J28" s="32">
        <f>IF('Order Side'!$G26, 'Supply Side'!L26, )</f>
        <v>20</v>
      </c>
      <c r="S28" s="2">
        <f t="shared" si="3"/>
        <v>25</v>
      </c>
      <c r="T28" s="33">
        <f t="shared" ref="T28:W28" ca="1" si="29">SUM(B$4:B28)</f>
        <v>3708</v>
      </c>
      <c r="U28" s="33">
        <f t="shared" si="29"/>
        <v>490</v>
      </c>
      <c r="V28" s="33">
        <f t="shared" si="29"/>
        <v>490</v>
      </c>
      <c r="W28" s="33">
        <f t="shared" si="29"/>
        <v>490</v>
      </c>
    </row>
    <row r="29" spans="1:23" x14ac:dyDescent="0.25">
      <c r="A29" s="2">
        <f t="shared" si="5"/>
        <v>26</v>
      </c>
      <c r="B29" s="10">
        <f ca="1">IF('Order Side'!$G27, IF('Supply Side'!C27&gt;0, 'Supply Side'!C27, -'Supply Side'!C27*2), )</f>
        <v>426</v>
      </c>
      <c r="C29" s="27">
        <f>IF('Order Side'!$G27, IF('Supply Side'!F27&gt;0, 'Supply Side'!F27, -'Supply Side'!F27*2), )</f>
        <v>20</v>
      </c>
      <c r="D29" s="28">
        <f>IF('Order Side'!$G27, IF('Supply Side'!I27&gt;0, 'Supply Side'!I27, -'Supply Side'!I27*2), )</f>
        <v>20</v>
      </c>
      <c r="E29" s="29">
        <f>IF('Order Side'!$G27, IF('Supply Side'!L27&gt;0, 'Supply Side'!L27, -'Supply Side'!L27*2), )</f>
        <v>20</v>
      </c>
      <c r="G29" s="14">
        <f ca="1">IF('Order Side'!$G27, 'Supply Side'!C27, )</f>
        <v>-213</v>
      </c>
      <c r="H29" s="30">
        <f>IF('Order Side'!$G27, 'Supply Side'!F27, )</f>
        <v>20</v>
      </c>
      <c r="I29" s="31">
        <f>IF('Order Side'!$G27, 'Supply Side'!I27, )</f>
        <v>20</v>
      </c>
      <c r="J29" s="32">
        <f>IF('Order Side'!$G27, 'Supply Side'!L27, )</f>
        <v>20</v>
      </c>
      <c r="S29" s="2">
        <f t="shared" si="3"/>
        <v>26</v>
      </c>
      <c r="T29" s="33">
        <f t="shared" ref="T29:W29" ca="1" si="30">SUM(B$4:B29)</f>
        <v>4134</v>
      </c>
      <c r="U29" s="33">
        <f t="shared" si="30"/>
        <v>510</v>
      </c>
      <c r="V29" s="33">
        <f t="shared" si="30"/>
        <v>510</v>
      </c>
      <c r="W29" s="33">
        <f t="shared" si="30"/>
        <v>510</v>
      </c>
    </row>
    <row r="30" spans="1:23" x14ac:dyDescent="0.25">
      <c r="A30" s="2">
        <f t="shared" si="5"/>
        <v>27</v>
      </c>
      <c r="B30" s="10">
        <f ca="1">IF('Order Side'!$G28, IF('Supply Side'!C28&gt;0, 'Supply Side'!C28, -'Supply Side'!C28*2), )</f>
        <v>450</v>
      </c>
      <c r="C30" s="27">
        <f>IF('Order Side'!$G28, IF('Supply Side'!F28&gt;0, 'Supply Side'!F28, -'Supply Side'!F28*2), )</f>
        <v>20</v>
      </c>
      <c r="D30" s="28">
        <f>IF('Order Side'!$G28, IF('Supply Side'!I28&gt;0, 'Supply Side'!I28, -'Supply Side'!I28*2), )</f>
        <v>20</v>
      </c>
      <c r="E30" s="29">
        <f>IF('Order Side'!$G28, IF('Supply Side'!L28&gt;0, 'Supply Side'!L28, -'Supply Side'!L28*2), )</f>
        <v>20</v>
      </c>
      <c r="G30" s="14">
        <f ca="1">IF('Order Side'!$G28, 'Supply Side'!C28, )</f>
        <v>-225</v>
      </c>
      <c r="H30" s="30">
        <f>IF('Order Side'!$G28, 'Supply Side'!F28, )</f>
        <v>20</v>
      </c>
      <c r="I30" s="31">
        <f>IF('Order Side'!$G28, 'Supply Side'!I28, )</f>
        <v>20</v>
      </c>
      <c r="J30" s="32">
        <f>IF('Order Side'!$G28, 'Supply Side'!L28, )</f>
        <v>20</v>
      </c>
      <c r="S30" s="2">
        <f t="shared" si="3"/>
        <v>27</v>
      </c>
      <c r="T30" s="33">
        <f t="shared" ref="T30:W30" ca="1" si="31">SUM(B$4:B30)</f>
        <v>4584</v>
      </c>
      <c r="U30" s="33">
        <f t="shared" si="31"/>
        <v>530</v>
      </c>
      <c r="V30" s="33">
        <f t="shared" si="31"/>
        <v>530</v>
      </c>
      <c r="W30" s="33">
        <f t="shared" si="31"/>
        <v>530</v>
      </c>
    </row>
    <row r="31" spans="1:23" x14ac:dyDescent="0.25">
      <c r="A31" s="2">
        <f t="shared" si="5"/>
        <v>28</v>
      </c>
      <c r="B31" s="10">
        <f ca="1">IF('Order Side'!$G29, IF('Supply Side'!C29&gt;0, 'Supply Side'!C29, -'Supply Side'!C29*2), )</f>
        <v>474</v>
      </c>
      <c r="C31" s="27">
        <f>IF('Order Side'!$G29, IF('Supply Side'!F29&gt;0, 'Supply Side'!F29, -'Supply Side'!F29*2), )</f>
        <v>20</v>
      </c>
      <c r="D31" s="28">
        <f>IF('Order Side'!$G29, IF('Supply Side'!I29&gt;0, 'Supply Side'!I29, -'Supply Side'!I29*2), )</f>
        <v>20</v>
      </c>
      <c r="E31" s="29">
        <f>IF('Order Side'!$G29, IF('Supply Side'!L29&gt;0, 'Supply Side'!L29, -'Supply Side'!L29*2), )</f>
        <v>20</v>
      </c>
      <c r="G31" s="14">
        <f ca="1">IF('Order Side'!$G29, 'Supply Side'!C29, )</f>
        <v>-237</v>
      </c>
      <c r="H31" s="30">
        <f>IF('Order Side'!$G29, 'Supply Side'!F29, )</f>
        <v>20</v>
      </c>
      <c r="I31" s="31">
        <f>IF('Order Side'!$G29, 'Supply Side'!I29, )</f>
        <v>20</v>
      </c>
      <c r="J31" s="32">
        <f>IF('Order Side'!$G29, 'Supply Side'!L29, )</f>
        <v>20</v>
      </c>
      <c r="S31" s="2">
        <f t="shared" si="3"/>
        <v>28</v>
      </c>
      <c r="T31" s="33">
        <f t="shared" ref="T31:W31" ca="1" si="32">SUM(B$4:B31)</f>
        <v>5058</v>
      </c>
      <c r="U31" s="33">
        <f t="shared" si="32"/>
        <v>550</v>
      </c>
      <c r="V31" s="33">
        <f t="shared" si="32"/>
        <v>550</v>
      </c>
      <c r="W31" s="33">
        <f t="shared" si="32"/>
        <v>550</v>
      </c>
    </row>
    <row r="32" spans="1:23" x14ac:dyDescent="0.25">
      <c r="A32" s="2">
        <f t="shared" si="5"/>
        <v>29</v>
      </c>
      <c r="B32" s="10">
        <f ca="1">IF('Order Side'!$G30, IF('Supply Side'!C30&gt;0, 'Supply Side'!C30, -'Supply Side'!C30*2), )</f>
        <v>498</v>
      </c>
      <c r="C32" s="27">
        <f>IF('Order Side'!$G30, IF('Supply Side'!F30&gt;0, 'Supply Side'!F30, -'Supply Side'!F30*2), )</f>
        <v>20</v>
      </c>
      <c r="D32" s="28">
        <f>IF('Order Side'!$G30, IF('Supply Side'!I30&gt;0, 'Supply Side'!I30, -'Supply Side'!I30*2), )</f>
        <v>20</v>
      </c>
      <c r="E32" s="29">
        <f>IF('Order Side'!$G30, IF('Supply Side'!L30&gt;0, 'Supply Side'!L30, -'Supply Side'!L30*2), )</f>
        <v>20</v>
      </c>
      <c r="G32" s="14">
        <f ca="1">IF('Order Side'!$G30, 'Supply Side'!C30, )</f>
        <v>-249</v>
      </c>
      <c r="H32" s="30">
        <f>IF('Order Side'!$G30, 'Supply Side'!F30, )</f>
        <v>20</v>
      </c>
      <c r="I32" s="31">
        <f>IF('Order Side'!$G30, 'Supply Side'!I30, )</f>
        <v>20</v>
      </c>
      <c r="J32" s="32">
        <f>IF('Order Side'!$G30, 'Supply Side'!L30, )</f>
        <v>20</v>
      </c>
      <c r="S32" s="2">
        <f t="shared" si="3"/>
        <v>29</v>
      </c>
      <c r="T32" s="33">
        <f t="shared" ref="T32:W32" ca="1" si="33">SUM(B$4:B32)</f>
        <v>5556</v>
      </c>
      <c r="U32" s="33">
        <f t="shared" si="33"/>
        <v>570</v>
      </c>
      <c r="V32" s="33">
        <f t="shared" si="33"/>
        <v>570</v>
      </c>
      <c r="W32" s="33">
        <f t="shared" si="33"/>
        <v>570</v>
      </c>
    </row>
    <row r="33" spans="1:23" x14ac:dyDescent="0.25">
      <c r="A33" s="2">
        <f t="shared" si="5"/>
        <v>30</v>
      </c>
      <c r="B33" s="10">
        <f ca="1">IF('Order Side'!$G31, IF('Supply Side'!C31&gt;0, 'Supply Side'!C31, -'Supply Side'!C31*2), )</f>
        <v>522</v>
      </c>
      <c r="C33" s="27">
        <f>IF('Order Side'!$G31, IF('Supply Side'!F31&gt;0, 'Supply Side'!F31, -'Supply Side'!F31*2), )</f>
        <v>20</v>
      </c>
      <c r="D33" s="28">
        <f>IF('Order Side'!$G31, IF('Supply Side'!I31&gt;0, 'Supply Side'!I31, -'Supply Side'!I31*2), )</f>
        <v>20</v>
      </c>
      <c r="E33" s="29">
        <f>IF('Order Side'!$G31, IF('Supply Side'!L31&gt;0, 'Supply Side'!L31, -'Supply Side'!L31*2), )</f>
        <v>20</v>
      </c>
      <c r="G33" s="14">
        <f ca="1">IF('Order Side'!$G31, 'Supply Side'!C31, )</f>
        <v>-261</v>
      </c>
      <c r="H33" s="30">
        <f>IF('Order Side'!$G31, 'Supply Side'!F31, )</f>
        <v>20</v>
      </c>
      <c r="I33" s="31">
        <f>IF('Order Side'!$G31, 'Supply Side'!I31, )</f>
        <v>20</v>
      </c>
      <c r="J33" s="32">
        <f>IF('Order Side'!$G31, 'Supply Side'!L31, )</f>
        <v>20</v>
      </c>
      <c r="S33" s="2">
        <f t="shared" si="3"/>
        <v>30</v>
      </c>
      <c r="T33" s="33">
        <f t="shared" ref="T33:W33" ca="1" si="34">SUM(B$4:B33)</f>
        <v>6078</v>
      </c>
      <c r="U33" s="33">
        <f t="shared" si="34"/>
        <v>590</v>
      </c>
      <c r="V33" s="33">
        <f t="shared" si="34"/>
        <v>590</v>
      </c>
      <c r="W33" s="33">
        <f t="shared" si="34"/>
        <v>590</v>
      </c>
    </row>
    <row r="34" spans="1:23" x14ac:dyDescent="0.25">
      <c r="A34" s="2">
        <f t="shared" si="5"/>
        <v>31</v>
      </c>
      <c r="B34" s="10">
        <f ca="1">IF('Order Side'!$G32, IF('Supply Side'!C32&gt;0, 'Supply Side'!C32, -'Supply Side'!C32*2), )</f>
        <v>546</v>
      </c>
      <c r="C34" s="27">
        <f>IF('Order Side'!$G32, IF('Supply Side'!F32&gt;0, 'Supply Side'!F32, -'Supply Side'!F32*2), )</f>
        <v>20</v>
      </c>
      <c r="D34" s="28">
        <f>IF('Order Side'!$G32, IF('Supply Side'!I32&gt;0, 'Supply Side'!I32, -'Supply Side'!I32*2), )</f>
        <v>20</v>
      </c>
      <c r="E34" s="29">
        <f>IF('Order Side'!$G32, IF('Supply Side'!L32&gt;0, 'Supply Side'!L32, -'Supply Side'!L32*2), )</f>
        <v>20</v>
      </c>
      <c r="G34" s="14">
        <f ca="1">IF('Order Side'!$G32, 'Supply Side'!C32, )</f>
        <v>-273</v>
      </c>
      <c r="H34" s="30">
        <f>IF('Order Side'!$G32, 'Supply Side'!F32, )</f>
        <v>20</v>
      </c>
      <c r="I34" s="31">
        <f>IF('Order Side'!$G32, 'Supply Side'!I32, )</f>
        <v>20</v>
      </c>
      <c r="J34" s="32">
        <f>IF('Order Side'!$G32, 'Supply Side'!L32, )</f>
        <v>20</v>
      </c>
      <c r="S34" s="2">
        <f t="shared" si="3"/>
        <v>31</v>
      </c>
      <c r="T34" s="33">
        <f t="shared" ref="T34:W34" ca="1" si="35">SUM(B$4:B34)</f>
        <v>6624</v>
      </c>
      <c r="U34" s="33">
        <f t="shared" si="35"/>
        <v>610</v>
      </c>
      <c r="V34" s="33">
        <f t="shared" si="35"/>
        <v>610</v>
      </c>
      <c r="W34" s="33">
        <f t="shared" si="35"/>
        <v>610</v>
      </c>
    </row>
    <row r="35" spans="1:23" x14ac:dyDescent="0.25">
      <c r="A35" s="2">
        <f t="shared" si="5"/>
        <v>32</v>
      </c>
      <c r="B35" s="10">
        <f ca="1">IF('Order Side'!$G33, IF('Supply Side'!C33&gt;0, 'Supply Side'!C33, -'Supply Side'!C33*2), )</f>
        <v>570</v>
      </c>
      <c r="C35" s="27">
        <f>IF('Order Side'!$G33, IF('Supply Side'!F33&gt;0, 'Supply Side'!F33, -'Supply Side'!F33*2), )</f>
        <v>20</v>
      </c>
      <c r="D35" s="28">
        <f>IF('Order Side'!$G33, IF('Supply Side'!I33&gt;0, 'Supply Side'!I33, -'Supply Side'!I33*2), )</f>
        <v>20</v>
      </c>
      <c r="E35" s="29">
        <f>IF('Order Side'!$G33, IF('Supply Side'!L33&gt;0, 'Supply Side'!L33, -'Supply Side'!L33*2), )</f>
        <v>20</v>
      </c>
      <c r="G35" s="14">
        <f ca="1">IF('Order Side'!$G33, 'Supply Side'!C33, )</f>
        <v>-285</v>
      </c>
      <c r="H35" s="30">
        <f>IF('Order Side'!$G33, 'Supply Side'!F33, )</f>
        <v>20</v>
      </c>
      <c r="I35" s="31">
        <f>IF('Order Side'!$G33, 'Supply Side'!I33, )</f>
        <v>20</v>
      </c>
      <c r="J35" s="32">
        <f>IF('Order Side'!$G33, 'Supply Side'!L33, )</f>
        <v>20</v>
      </c>
      <c r="S35" s="2">
        <f t="shared" si="3"/>
        <v>32</v>
      </c>
      <c r="T35" s="33">
        <f t="shared" ref="T35:W35" ca="1" si="36">SUM(B$4:B35)</f>
        <v>7194</v>
      </c>
      <c r="U35" s="33">
        <f t="shared" si="36"/>
        <v>630</v>
      </c>
      <c r="V35" s="33">
        <f t="shared" si="36"/>
        <v>630</v>
      </c>
      <c r="W35" s="33">
        <f t="shared" si="36"/>
        <v>630</v>
      </c>
    </row>
    <row r="36" spans="1:23" x14ac:dyDescent="0.25">
      <c r="A36" s="2">
        <f t="shared" si="5"/>
        <v>33</v>
      </c>
      <c r="B36" s="10">
        <f ca="1">IF('Order Side'!$G34, IF('Supply Side'!C34&gt;0, 'Supply Side'!C34, -'Supply Side'!C34*2), )</f>
        <v>594</v>
      </c>
      <c r="C36" s="27">
        <f>IF('Order Side'!$G34, IF('Supply Side'!F34&gt;0, 'Supply Side'!F34, -'Supply Side'!F34*2), )</f>
        <v>20</v>
      </c>
      <c r="D36" s="28">
        <f>IF('Order Side'!$G34, IF('Supply Side'!I34&gt;0, 'Supply Side'!I34, -'Supply Side'!I34*2), )</f>
        <v>20</v>
      </c>
      <c r="E36" s="29">
        <f>IF('Order Side'!$G34, IF('Supply Side'!L34&gt;0, 'Supply Side'!L34, -'Supply Side'!L34*2), )</f>
        <v>20</v>
      </c>
      <c r="G36" s="14">
        <f ca="1">IF('Order Side'!$G34, 'Supply Side'!C34, )</f>
        <v>-297</v>
      </c>
      <c r="H36" s="30">
        <f>IF('Order Side'!$G34, 'Supply Side'!F34, )</f>
        <v>20</v>
      </c>
      <c r="I36" s="31">
        <f>IF('Order Side'!$G34, 'Supply Side'!I34, )</f>
        <v>20</v>
      </c>
      <c r="J36" s="32">
        <f>IF('Order Side'!$G34, 'Supply Side'!L34, )</f>
        <v>20</v>
      </c>
      <c r="S36" s="2">
        <f t="shared" si="3"/>
        <v>33</v>
      </c>
      <c r="T36" s="33">
        <f t="shared" ref="T36:W36" ca="1" si="37">SUM(B$4:B36)</f>
        <v>7788</v>
      </c>
      <c r="U36" s="33">
        <f t="shared" si="37"/>
        <v>650</v>
      </c>
      <c r="V36" s="33">
        <f t="shared" si="37"/>
        <v>650</v>
      </c>
      <c r="W36" s="33">
        <f t="shared" si="37"/>
        <v>650</v>
      </c>
    </row>
    <row r="37" spans="1:23" x14ac:dyDescent="0.25">
      <c r="A37" s="2">
        <f t="shared" si="5"/>
        <v>34</v>
      </c>
      <c r="B37" s="10">
        <f ca="1">IF('Order Side'!$G35, IF('Supply Side'!C35&gt;0, 'Supply Side'!C35, -'Supply Side'!C35*2), )</f>
        <v>618</v>
      </c>
      <c r="C37" s="27">
        <f>IF('Order Side'!$G35, IF('Supply Side'!F35&gt;0, 'Supply Side'!F35, -'Supply Side'!F35*2), )</f>
        <v>20</v>
      </c>
      <c r="D37" s="28">
        <f>IF('Order Side'!$G35, IF('Supply Side'!I35&gt;0, 'Supply Side'!I35, -'Supply Side'!I35*2), )</f>
        <v>20</v>
      </c>
      <c r="E37" s="29">
        <f>IF('Order Side'!$G35, IF('Supply Side'!L35&gt;0, 'Supply Side'!L35, -'Supply Side'!L35*2), )</f>
        <v>20</v>
      </c>
      <c r="G37" s="14">
        <f ca="1">IF('Order Side'!$G35, 'Supply Side'!C35, )</f>
        <v>-309</v>
      </c>
      <c r="H37" s="30">
        <f>IF('Order Side'!$G35, 'Supply Side'!F35, )</f>
        <v>20</v>
      </c>
      <c r="I37" s="31">
        <f>IF('Order Side'!$G35, 'Supply Side'!I35, )</f>
        <v>20</v>
      </c>
      <c r="J37" s="32">
        <f>IF('Order Side'!$G35, 'Supply Side'!L35, )</f>
        <v>20</v>
      </c>
      <c r="S37" s="2">
        <f t="shared" si="3"/>
        <v>34</v>
      </c>
      <c r="T37" s="33">
        <f t="shared" ref="T37:W37" ca="1" si="38">SUM(B$4:B37)</f>
        <v>8406</v>
      </c>
      <c r="U37" s="33">
        <f t="shared" si="38"/>
        <v>670</v>
      </c>
      <c r="V37" s="33">
        <f t="shared" si="38"/>
        <v>670</v>
      </c>
      <c r="W37" s="33">
        <f t="shared" si="38"/>
        <v>670</v>
      </c>
    </row>
    <row r="38" spans="1:23" x14ac:dyDescent="0.25">
      <c r="A38" s="2">
        <f t="shared" si="5"/>
        <v>35</v>
      </c>
      <c r="B38" s="10">
        <f ca="1">IF('Order Side'!$G36, IF('Supply Side'!C36&gt;0, 'Supply Side'!C36, -'Supply Side'!C36*2), )</f>
        <v>642</v>
      </c>
      <c r="C38" s="27">
        <f>IF('Order Side'!$G36, IF('Supply Side'!F36&gt;0, 'Supply Side'!F36, -'Supply Side'!F36*2), )</f>
        <v>20</v>
      </c>
      <c r="D38" s="28">
        <f>IF('Order Side'!$G36, IF('Supply Side'!I36&gt;0, 'Supply Side'!I36, -'Supply Side'!I36*2), )</f>
        <v>20</v>
      </c>
      <c r="E38" s="29">
        <f>IF('Order Side'!$G36, IF('Supply Side'!L36&gt;0, 'Supply Side'!L36, -'Supply Side'!L36*2), )</f>
        <v>20</v>
      </c>
      <c r="G38" s="14">
        <f ca="1">IF('Order Side'!$G36, 'Supply Side'!C36, )</f>
        <v>-321</v>
      </c>
      <c r="H38" s="30">
        <f>IF('Order Side'!$G36, 'Supply Side'!F36, )</f>
        <v>20</v>
      </c>
      <c r="I38" s="31">
        <f>IF('Order Side'!$G36, 'Supply Side'!I36, )</f>
        <v>20</v>
      </c>
      <c r="J38" s="32">
        <f>IF('Order Side'!$G36, 'Supply Side'!L36, )</f>
        <v>20</v>
      </c>
      <c r="S38" s="2">
        <f t="shared" si="3"/>
        <v>35</v>
      </c>
      <c r="T38" s="33">
        <f t="shared" ref="T38:W38" ca="1" si="39">SUM(B$4:B38)</f>
        <v>9048</v>
      </c>
      <c r="U38" s="33">
        <f t="shared" si="39"/>
        <v>690</v>
      </c>
      <c r="V38" s="33">
        <f t="shared" si="39"/>
        <v>690</v>
      </c>
      <c r="W38" s="33">
        <f t="shared" si="39"/>
        <v>690</v>
      </c>
    </row>
    <row r="39" spans="1:23" x14ac:dyDescent="0.25">
      <c r="A39" s="2">
        <f t="shared" si="5"/>
        <v>36</v>
      </c>
      <c r="B39" s="10">
        <f ca="1">IF('Order Side'!$G37, IF('Supply Side'!C37&gt;0, 'Supply Side'!C37, -'Supply Side'!C37*2), )</f>
        <v>666</v>
      </c>
      <c r="C39" s="27">
        <f>IF('Order Side'!$G37, IF('Supply Side'!F37&gt;0, 'Supply Side'!F37, -'Supply Side'!F37*2), )</f>
        <v>20</v>
      </c>
      <c r="D39" s="28">
        <f>IF('Order Side'!$G37, IF('Supply Side'!I37&gt;0, 'Supply Side'!I37, -'Supply Side'!I37*2), )</f>
        <v>20</v>
      </c>
      <c r="E39" s="29">
        <f>IF('Order Side'!$G37, IF('Supply Side'!L37&gt;0, 'Supply Side'!L37, -'Supply Side'!L37*2), )</f>
        <v>20</v>
      </c>
      <c r="G39" s="14">
        <f ca="1">IF('Order Side'!$G37, 'Supply Side'!C37, )</f>
        <v>-333</v>
      </c>
      <c r="H39" s="30">
        <f>IF('Order Side'!$G37, 'Supply Side'!F37, )</f>
        <v>20</v>
      </c>
      <c r="I39" s="31">
        <f>IF('Order Side'!$G37, 'Supply Side'!I37, )</f>
        <v>20</v>
      </c>
      <c r="J39" s="32">
        <f>IF('Order Side'!$G37, 'Supply Side'!L37, )</f>
        <v>20</v>
      </c>
      <c r="S39" s="2">
        <f t="shared" si="3"/>
        <v>36</v>
      </c>
      <c r="T39" s="33">
        <f t="shared" ref="T39:W39" ca="1" si="40">SUM(B$4:B39)</f>
        <v>9714</v>
      </c>
      <c r="U39" s="33">
        <f t="shared" si="40"/>
        <v>710</v>
      </c>
      <c r="V39" s="33">
        <f t="shared" si="40"/>
        <v>710</v>
      </c>
      <c r="W39" s="33">
        <f t="shared" si="40"/>
        <v>710</v>
      </c>
    </row>
    <row r="40" spans="1:23" x14ac:dyDescent="0.25">
      <c r="A40" s="2">
        <f t="shared" si="5"/>
        <v>37</v>
      </c>
      <c r="B40" s="10">
        <f ca="1">IF('Order Side'!$G38, IF('Supply Side'!C38&gt;0, 'Supply Side'!C38, -'Supply Side'!C38*2), )</f>
        <v>690</v>
      </c>
      <c r="C40" s="27">
        <f>IF('Order Side'!$G38, IF('Supply Side'!F38&gt;0, 'Supply Side'!F38, -'Supply Side'!F38*2), )</f>
        <v>20</v>
      </c>
      <c r="D40" s="28">
        <f>IF('Order Side'!$G38, IF('Supply Side'!I38&gt;0, 'Supply Side'!I38, -'Supply Side'!I38*2), )</f>
        <v>20</v>
      </c>
      <c r="E40" s="29">
        <f>IF('Order Side'!$G38, IF('Supply Side'!L38&gt;0, 'Supply Side'!L38, -'Supply Side'!L38*2), )</f>
        <v>20</v>
      </c>
      <c r="G40" s="14">
        <f ca="1">IF('Order Side'!$G38, 'Supply Side'!C38, )</f>
        <v>-345</v>
      </c>
      <c r="H40" s="30">
        <f>IF('Order Side'!$G38, 'Supply Side'!F38, )</f>
        <v>20</v>
      </c>
      <c r="I40" s="31">
        <f>IF('Order Side'!$G38, 'Supply Side'!I38, )</f>
        <v>20</v>
      </c>
      <c r="J40" s="32">
        <f>IF('Order Side'!$G38, 'Supply Side'!L38, )</f>
        <v>20</v>
      </c>
      <c r="S40" s="2">
        <f t="shared" si="3"/>
        <v>37</v>
      </c>
      <c r="T40" s="33">
        <f t="shared" ref="T40:W40" ca="1" si="41">SUM(B$4:B40)</f>
        <v>10404</v>
      </c>
      <c r="U40" s="33">
        <f t="shared" si="41"/>
        <v>730</v>
      </c>
      <c r="V40" s="33">
        <f t="shared" si="41"/>
        <v>730</v>
      </c>
      <c r="W40" s="33">
        <f t="shared" si="41"/>
        <v>730</v>
      </c>
    </row>
    <row r="41" spans="1:23" x14ac:dyDescent="0.25">
      <c r="A41" s="2">
        <f t="shared" si="5"/>
        <v>38</v>
      </c>
      <c r="B41" s="10">
        <f ca="1">IF('Order Side'!$G39, IF('Supply Side'!C39&gt;0, 'Supply Side'!C39, -'Supply Side'!C39*2), )</f>
        <v>714</v>
      </c>
      <c r="C41" s="27">
        <f>IF('Order Side'!$G39, IF('Supply Side'!F39&gt;0, 'Supply Side'!F39, -'Supply Side'!F39*2), )</f>
        <v>20</v>
      </c>
      <c r="D41" s="28">
        <f>IF('Order Side'!$G39, IF('Supply Side'!I39&gt;0, 'Supply Side'!I39, -'Supply Side'!I39*2), )</f>
        <v>20</v>
      </c>
      <c r="E41" s="29">
        <f>IF('Order Side'!$G39, IF('Supply Side'!L39&gt;0, 'Supply Side'!L39, -'Supply Side'!L39*2), )</f>
        <v>20</v>
      </c>
      <c r="G41" s="14">
        <f ca="1">IF('Order Side'!$G39, 'Supply Side'!C39, )</f>
        <v>-357</v>
      </c>
      <c r="H41" s="30">
        <f>IF('Order Side'!$G39, 'Supply Side'!F39, )</f>
        <v>20</v>
      </c>
      <c r="I41" s="31">
        <f>IF('Order Side'!$G39, 'Supply Side'!I39, )</f>
        <v>20</v>
      </c>
      <c r="J41" s="32">
        <f>IF('Order Side'!$G39, 'Supply Side'!L39, )</f>
        <v>20</v>
      </c>
      <c r="S41" s="2">
        <f t="shared" si="3"/>
        <v>38</v>
      </c>
      <c r="T41" s="33">
        <f t="shared" ref="T41:W41" ca="1" si="42">SUM(B$4:B41)</f>
        <v>11118</v>
      </c>
      <c r="U41" s="33">
        <f t="shared" si="42"/>
        <v>750</v>
      </c>
      <c r="V41" s="33">
        <f t="shared" si="42"/>
        <v>750</v>
      </c>
      <c r="W41" s="33">
        <f t="shared" si="42"/>
        <v>750</v>
      </c>
    </row>
    <row r="42" spans="1:23" x14ac:dyDescent="0.25">
      <c r="A42" s="2">
        <f t="shared" si="5"/>
        <v>39</v>
      </c>
      <c r="B42" s="10">
        <f ca="1">IF('Order Side'!$G40, IF('Supply Side'!C40&gt;0, 'Supply Side'!C40, -'Supply Side'!C40*2), )</f>
        <v>738</v>
      </c>
      <c r="C42" s="27">
        <f>IF('Order Side'!$G40, IF('Supply Side'!F40&gt;0, 'Supply Side'!F40, -'Supply Side'!F40*2), )</f>
        <v>20</v>
      </c>
      <c r="D42" s="28">
        <f>IF('Order Side'!$G40, IF('Supply Side'!I40&gt;0, 'Supply Side'!I40, -'Supply Side'!I40*2), )</f>
        <v>20</v>
      </c>
      <c r="E42" s="29">
        <f>IF('Order Side'!$G40, IF('Supply Side'!L40&gt;0, 'Supply Side'!L40, -'Supply Side'!L40*2), )</f>
        <v>20</v>
      </c>
      <c r="G42" s="14">
        <f ca="1">IF('Order Side'!$G40, 'Supply Side'!C40, )</f>
        <v>-369</v>
      </c>
      <c r="H42" s="30">
        <f>IF('Order Side'!$G40, 'Supply Side'!F40, )</f>
        <v>20</v>
      </c>
      <c r="I42" s="31">
        <f>IF('Order Side'!$G40, 'Supply Side'!I40, )</f>
        <v>20</v>
      </c>
      <c r="J42" s="32">
        <f>IF('Order Side'!$G40, 'Supply Side'!L40, )</f>
        <v>20</v>
      </c>
      <c r="S42" s="2">
        <f t="shared" si="3"/>
        <v>39</v>
      </c>
      <c r="T42" s="33">
        <f t="shared" ref="T42:W42" ca="1" si="43">SUM(B$4:B42)</f>
        <v>11856</v>
      </c>
      <c r="U42" s="33">
        <f t="shared" si="43"/>
        <v>770</v>
      </c>
      <c r="V42" s="33">
        <f t="shared" si="43"/>
        <v>770</v>
      </c>
      <c r="W42" s="33">
        <f t="shared" si="43"/>
        <v>770</v>
      </c>
    </row>
    <row r="43" spans="1:23" x14ac:dyDescent="0.25">
      <c r="A43" s="2">
        <f t="shared" si="5"/>
        <v>40</v>
      </c>
      <c r="B43" s="10">
        <f ca="1">IF('Order Side'!$G41, IF('Supply Side'!C41&gt;0, 'Supply Side'!C41, -'Supply Side'!C41*2), )</f>
        <v>762</v>
      </c>
      <c r="C43" s="27">
        <f>IF('Order Side'!$G41, IF('Supply Side'!F41&gt;0, 'Supply Side'!F41, -'Supply Side'!F41*2), )</f>
        <v>20</v>
      </c>
      <c r="D43" s="28">
        <f>IF('Order Side'!$G41, IF('Supply Side'!I41&gt;0, 'Supply Side'!I41, -'Supply Side'!I41*2), )</f>
        <v>20</v>
      </c>
      <c r="E43" s="29">
        <f>IF('Order Side'!$G41, IF('Supply Side'!L41&gt;0, 'Supply Side'!L41, -'Supply Side'!L41*2), )</f>
        <v>20</v>
      </c>
      <c r="G43" s="14">
        <f ca="1">IF('Order Side'!$G41, 'Supply Side'!C41, )</f>
        <v>-381</v>
      </c>
      <c r="H43" s="30">
        <f>IF('Order Side'!$G41, 'Supply Side'!F41, )</f>
        <v>20</v>
      </c>
      <c r="I43" s="31">
        <f>IF('Order Side'!$G41, 'Supply Side'!I41, )</f>
        <v>20</v>
      </c>
      <c r="J43" s="32">
        <f>IF('Order Side'!$G41, 'Supply Side'!L41, )</f>
        <v>20</v>
      </c>
      <c r="S43" s="2">
        <f t="shared" si="3"/>
        <v>40</v>
      </c>
      <c r="T43" s="33">
        <f t="shared" ref="T43:W43" ca="1" si="44">SUM(B$4:B43)</f>
        <v>12618</v>
      </c>
      <c r="U43" s="33">
        <f t="shared" si="44"/>
        <v>790</v>
      </c>
      <c r="V43" s="33">
        <f t="shared" si="44"/>
        <v>790</v>
      </c>
      <c r="W43" s="33">
        <f t="shared" si="44"/>
        <v>790</v>
      </c>
    </row>
    <row r="44" spans="1:23" x14ac:dyDescent="0.25">
      <c r="A44" s="2">
        <f t="shared" si="5"/>
        <v>41</v>
      </c>
      <c r="B44" s="10">
        <f ca="1">IF('Order Side'!$G42, IF('Supply Side'!C42&gt;0, 'Supply Side'!C42, -'Supply Side'!C42*2), )</f>
        <v>786</v>
      </c>
      <c r="C44" s="27">
        <f>IF('Order Side'!$G42, IF('Supply Side'!F42&gt;0, 'Supply Side'!F42, -'Supply Side'!F42*2), )</f>
        <v>20</v>
      </c>
      <c r="D44" s="28">
        <f>IF('Order Side'!$G42, IF('Supply Side'!I42&gt;0, 'Supply Side'!I42, -'Supply Side'!I42*2), )</f>
        <v>20</v>
      </c>
      <c r="E44" s="29">
        <f>IF('Order Side'!$G42, IF('Supply Side'!L42&gt;0, 'Supply Side'!L42, -'Supply Side'!L42*2), )</f>
        <v>20</v>
      </c>
      <c r="G44" s="14">
        <f ca="1">IF('Order Side'!$G42, 'Supply Side'!C42, )</f>
        <v>-393</v>
      </c>
      <c r="H44" s="30">
        <f>IF('Order Side'!$G42, 'Supply Side'!F42, )</f>
        <v>20</v>
      </c>
      <c r="I44" s="31">
        <f>IF('Order Side'!$G42, 'Supply Side'!I42, )</f>
        <v>20</v>
      </c>
      <c r="J44" s="32">
        <f>IF('Order Side'!$G42, 'Supply Side'!L42, )</f>
        <v>20</v>
      </c>
      <c r="S44" s="2">
        <f t="shared" si="3"/>
        <v>41</v>
      </c>
      <c r="T44" s="33">
        <f t="shared" ref="T44:W44" ca="1" si="45">SUM(B$4:B44)</f>
        <v>13404</v>
      </c>
      <c r="U44" s="33">
        <f t="shared" si="45"/>
        <v>810</v>
      </c>
      <c r="V44" s="33">
        <f t="shared" si="45"/>
        <v>810</v>
      </c>
      <c r="W44" s="33">
        <f t="shared" si="45"/>
        <v>810</v>
      </c>
    </row>
    <row r="45" spans="1:23" x14ac:dyDescent="0.25">
      <c r="A45" s="2">
        <f t="shared" si="5"/>
        <v>42</v>
      </c>
      <c r="B45" s="10">
        <f ca="1">IF('Order Side'!$G43, IF('Supply Side'!C43&gt;0, 'Supply Side'!C43, -'Supply Side'!C43*2), )</f>
        <v>810</v>
      </c>
      <c r="C45" s="27">
        <f>IF('Order Side'!$G43, IF('Supply Side'!F43&gt;0, 'Supply Side'!F43, -'Supply Side'!F43*2), )</f>
        <v>20</v>
      </c>
      <c r="D45" s="28">
        <f>IF('Order Side'!$G43, IF('Supply Side'!I43&gt;0, 'Supply Side'!I43, -'Supply Side'!I43*2), )</f>
        <v>20</v>
      </c>
      <c r="E45" s="29">
        <f>IF('Order Side'!$G43, IF('Supply Side'!L43&gt;0, 'Supply Side'!L43, -'Supply Side'!L43*2), )</f>
        <v>20</v>
      </c>
      <c r="G45" s="14">
        <f ca="1">IF('Order Side'!$G43, 'Supply Side'!C43, )</f>
        <v>-405</v>
      </c>
      <c r="H45" s="30">
        <f>IF('Order Side'!$G43, 'Supply Side'!F43, )</f>
        <v>20</v>
      </c>
      <c r="I45" s="31">
        <f>IF('Order Side'!$G43, 'Supply Side'!I43, )</f>
        <v>20</v>
      </c>
      <c r="J45" s="32">
        <f>IF('Order Side'!$G43, 'Supply Side'!L43, )</f>
        <v>20</v>
      </c>
      <c r="S45" s="2">
        <f t="shared" si="3"/>
        <v>42</v>
      </c>
      <c r="T45" s="33">
        <f t="shared" ref="T45:W45" ca="1" si="46">SUM(B$4:B45)</f>
        <v>14214</v>
      </c>
      <c r="U45" s="33">
        <f t="shared" si="46"/>
        <v>830</v>
      </c>
      <c r="V45" s="33">
        <f t="shared" si="46"/>
        <v>830</v>
      </c>
      <c r="W45" s="33">
        <f t="shared" si="46"/>
        <v>830</v>
      </c>
    </row>
    <row r="46" spans="1:23" x14ac:dyDescent="0.25">
      <c r="A46" s="2">
        <f t="shared" si="5"/>
        <v>43</v>
      </c>
      <c r="B46" s="10">
        <f ca="1">IF('Order Side'!$G44, IF('Supply Side'!C44&gt;0, 'Supply Side'!C44, -'Supply Side'!C44*2), )</f>
        <v>834</v>
      </c>
      <c r="C46" s="27">
        <f>IF('Order Side'!$G44, IF('Supply Side'!F44&gt;0, 'Supply Side'!F44, -'Supply Side'!F44*2), )</f>
        <v>20</v>
      </c>
      <c r="D46" s="28">
        <f>IF('Order Side'!$G44, IF('Supply Side'!I44&gt;0, 'Supply Side'!I44, -'Supply Side'!I44*2), )</f>
        <v>20</v>
      </c>
      <c r="E46" s="29">
        <f>IF('Order Side'!$G44, IF('Supply Side'!L44&gt;0, 'Supply Side'!L44, -'Supply Side'!L44*2), )</f>
        <v>20</v>
      </c>
      <c r="G46" s="14">
        <f ca="1">IF('Order Side'!$G44, 'Supply Side'!C44, )</f>
        <v>-417</v>
      </c>
      <c r="H46" s="30">
        <f>IF('Order Side'!$G44, 'Supply Side'!F44, )</f>
        <v>20</v>
      </c>
      <c r="I46" s="31">
        <f>IF('Order Side'!$G44, 'Supply Side'!I44, )</f>
        <v>20</v>
      </c>
      <c r="J46" s="32">
        <f>IF('Order Side'!$G44, 'Supply Side'!L44, )</f>
        <v>20</v>
      </c>
      <c r="S46" s="2">
        <f t="shared" si="3"/>
        <v>43</v>
      </c>
      <c r="T46" s="33">
        <f t="shared" ref="T46:W46" ca="1" si="47">SUM(B$4:B46)</f>
        <v>15048</v>
      </c>
      <c r="U46" s="33">
        <f t="shared" si="47"/>
        <v>850</v>
      </c>
      <c r="V46" s="33">
        <f t="shared" si="47"/>
        <v>850</v>
      </c>
      <c r="W46" s="33">
        <f t="shared" si="47"/>
        <v>850</v>
      </c>
    </row>
    <row r="47" spans="1:23" x14ac:dyDescent="0.25">
      <c r="A47" s="2">
        <f t="shared" si="5"/>
        <v>44</v>
      </c>
      <c r="B47" s="10">
        <f ca="1">IF('Order Side'!$G45, IF('Supply Side'!C45&gt;0, 'Supply Side'!C45, -'Supply Side'!C45*2), )</f>
        <v>858</v>
      </c>
      <c r="C47" s="27">
        <f>IF('Order Side'!$G45, IF('Supply Side'!F45&gt;0, 'Supply Side'!F45, -'Supply Side'!F45*2), )</f>
        <v>20</v>
      </c>
      <c r="D47" s="28">
        <f>IF('Order Side'!$G45, IF('Supply Side'!I45&gt;0, 'Supply Side'!I45, -'Supply Side'!I45*2), )</f>
        <v>20</v>
      </c>
      <c r="E47" s="29">
        <f>IF('Order Side'!$G45, IF('Supply Side'!L45&gt;0, 'Supply Side'!L45, -'Supply Side'!L45*2), )</f>
        <v>20</v>
      </c>
      <c r="G47" s="14">
        <f ca="1">IF('Order Side'!$G45, 'Supply Side'!C45, )</f>
        <v>-429</v>
      </c>
      <c r="H47" s="30">
        <f>IF('Order Side'!$G45, 'Supply Side'!F45, )</f>
        <v>20</v>
      </c>
      <c r="I47" s="31">
        <f>IF('Order Side'!$G45, 'Supply Side'!I45, )</f>
        <v>20</v>
      </c>
      <c r="J47" s="32">
        <f>IF('Order Side'!$G45, 'Supply Side'!L45, )</f>
        <v>20</v>
      </c>
      <c r="S47" s="2">
        <f t="shared" si="3"/>
        <v>44</v>
      </c>
      <c r="T47" s="33">
        <f t="shared" ref="T47:W47" ca="1" si="48">SUM(B$4:B47)</f>
        <v>15906</v>
      </c>
      <c r="U47" s="33">
        <f t="shared" si="48"/>
        <v>870</v>
      </c>
      <c r="V47" s="33">
        <f t="shared" si="48"/>
        <v>870</v>
      </c>
      <c r="W47" s="33">
        <f t="shared" si="48"/>
        <v>870</v>
      </c>
    </row>
    <row r="48" spans="1:23" x14ac:dyDescent="0.25">
      <c r="A48" s="2">
        <f t="shared" si="5"/>
        <v>45</v>
      </c>
      <c r="B48" s="10">
        <f ca="1">IF('Order Side'!$G46, IF('Supply Side'!C46&gt;0, 'Supply Side'!C46, -'Supply Side'!C46*2), )</f>
        <v>882</v>
      </c>
      <c r="C48" s="27">
        <f>IF('Order Side'!$G46, IF('Supply Side'!F46&gt;0, 'Supply Side'!F46, -'Supply Side'!F46*2), )</f>
        <v>20</v>
      </c>
      <c r="D48" s="28">
        <f>IF('Order Side'!$G46, IF('Supply Side'!I46&gt;0, 'Supply Side'!I46, -'Supply Side'!I46*2), )</f>
        <v>20</v>
      </c>
      <c r="E48" s="29">
        <f>IF('Order Side'!$G46, IF('Supply Side'!L46&gt;0, 'Supply Side'!L46, -'Supply Side'!L46*2), )</f>
        <v>20</v>
      </c>
      <c r="G48" s="14">
        <f ca="1">IF('Order Side'!$G46, 'Supply Side'!C46, )</f>
        <v>-441</v>
      </c>
      <c r="H48" s="30">
        <f>IF('Order Side'!$G46, 'Supply Side'!F46, )</f>
        <v>20</v>
      </c>
      <c r="I48" s="31">
        <f>IF('Order Side'!$G46, 'Supply Side'!I46, )</f>
        <v>20</v>
      </c>
      <c r="J48" s="32">
        <f>IF('Order Side'!$G46, 'Supply Side'!L46, )</f>
        <v>20</v>
      </c>
      <c r="S48" s="2">
        <f t="shared" si="3"/>
        <v>45</v>
      </c>
      <c r="T48" s="33">
        <f t="shared" ref="T48:W48" ca="1" si="49">SUM(B$4:B48)</f>
        <v>16788</v>
      </c>
      <c r="U48" s="33">
        <f t="shared" si="49"/>
        <v>890</v>
      </c>
      <c r="V48" s="33">
        <f t="shared" si="49"/>
        <v>890</v>
      </c>
      <c r="W48" s="33">
        <f t="shared" si="49"/>
        <v>890</v>
      </c>
    </row>
    <row r="49" spans="1:23" x14ac:dyDescent="0.25">
      <c r="A49" s="2">
        <f t="shared" si="5"/>
        <v>46</v>
      </c>
      <c r="B49" s="10">
        <f ca="1">IF('Order Side'!$G47, IF('Supply Side'!C47&gt;0, 'Supply Side'!C47, -'Supply Side'!C47*2), )</f>
        <v>906</v>
      </c>
      <c r="C49" s="27">
        <f>IF('Order Side'!$G47, IF('Supply Side'!F47&gt;0, 'Supply Side'!F47, -'Supply Side'!F47*2), )</f>
        <v>20</v>
      </c>
      <c r="D49" s="28">
        <f>IF('Order Side'!$G47, IF('Supply Side'!I47&gt;0, 'Supply Side'!I47, -'Supply Side'!I47*2), )</f>
        <v>20</v>
      </c>
      <c r="E49" s="29">
        <f>IF('Order Side'!$G47, IF('Supply Side'!L47&gt;0, 'Supply Side'!L47, -'Supply Side'!L47*2), )</f>
        <v>20</v>
      </c>
      <c r="G49" s="14">
        <f ca="1">IF('Order Side'!$G47, 'Supply Side'!C47, )</f>
        <v>-453</v>
      </c>
      <c r="H49" s="30">
        <f>IF('Order Side'!$G47, 'Supply Side'!F47, )</f>
        <v>20</v>
      </c>
      <c r="I49" s="31">
        <f>IF('Order Side'!$G47, 'Supply Side'!I47, )</f>
        <v>20</v>
      </c>
      <c r="J49" s="32">
        <f>IF('Order Side'!$G47, 'Supply Side'!L47, )</f>
        <v>20</v>
      </c>
      <c r="S49" s="2">
        <f t="shared" si="3"/>
        <v>46</v>
      </c>
      <c r="T49" s="33">
        <f t="shared" ref="T49:W49" ca="1" si="50">SUM(B$4:B49)</f>
        <v>17694</v>
      </c>
      <c r="U49" s="33">
        <f t="shared" si="50"/>
        <v>910</v>
      </c>
      <c r="V49" s="33">
        <f t="shared" si="50"/>
        <v>910</v>
      </c>
      <c r="W49" s="33">
        <f t="shared" si="50"/>
        <v>910</v>
      </c>
    </row>
    <row r="50" spans="1:23" x14ac:dyDescent="0.25">
      <c r="A50" s="2">
        <f t="shared" si="5"/>
        <v>47</v>
      </c>
      <c r="B50" s="10">
        <f ca="1">IF('Order Side'!$G48, IF('Supply Side'!C48&gt;0, 'Supply Side'!C48, -'Supply Side'!C48*2), )</f>
        <v>930</v>
      </c>
      <c r="C50" s="27">
        <f>IF('Order Side'!$G48, IF('Supply Side'!F48&gt;0, 'Supply Side'!F48, -'Supply Side'!F48*2), )</f>
        <v>20</v>
      </c>
      <c r="D50" s="28">
        <f>IF('Order Side'!$G48, IF('Supply Side'!I48&gt;0, 'Supply Side'!I48, -'Supply Side'!I48*2), )</f>
        <v>20</v>
      </c>
      <c r="E50" s="29">
        <f>IF('Order Side'!$G48, IF('Supply Side'!L48&gt;0, 'Supply Side'!L48, -'Supply Side'!L48*2), )</f>
        <v>20</v>
      </c>
      <c r="G50" s="14">
        <f ca="1">IF('Order Side'!$G48, 'Supply Side'!C48, )</f>
        <v>-465</v>
      </c>
      <c r="H50" s="30">
        <f>IF('Order Side'!$G48, 'Supply Side'!F48, )</f>
        <v>20</v>
      </c>
      <c r="I50" s="31">
        <f>IF('Order Side'!$G48, 'Supply Side'!I48, )</f>
        <v>20</v>
      </c>
      <c r="J50" s="32">
        <f>IF('Order Side'!$G48, 'Supply Side'!L48, )</f>
        <v>20</v>
      </c>
      <c r="S50" s="2">
        <f t="shared" si="3"/>
        <v>47</v>
      </c>
      <c r="T50" s="33">
        <f t="shared" ref="T50:W50" ca="1" si="51">SUM(B$4:B50)</f>
        <v>18624</v>
      </c>
      <c r="U50" s="33">
        <f t="shared" si="51"/>
        <v>930</v>
      </c>
      <c r="V50" s="33">
        <f t="shared" si="51"/>
        <v>930</v>
      </c>
      <c r="W50" s="33">
        <f t="shared" si="51"/>
        <v>930</v>
      </c>
    </row>
    <row r="51" spans="1:23" x14ac:dyDescent="0.25">
      <c r="A51" s="2">
        <f t="shared" si="5"/>
        <v>48</v>
      </c>
      <c r="B51" s="10">
        <f ca="1">IF('Order Side'!$G49, IF('Supply Side'!C49&gt;0, 'Supply Side'!C49, -'Supply Side'!C49*2), )</f>
        <v>954</v>
      </c>
      <c r="C51" s="27">
        <f>IF('Order Side'!$G49, IF('Supply Side'!F49&gt;0, 'Supply Side'!F49, -'Supply Side'!F49*2), )</f>
        <v>20</v>
      </c>
      <c r="D51" s="28">
        <f>IF('Order Side'!$G49, IF('Supply Side'!I49&gt;0, 'Supply Side'!I49, -'Supply Side'!I49*2), )</f>
        <v>20</v>
      </c>
      <c r="E51" s="29">
        <f>IF('Order Side'!$G49, IF('Supply Side'!L49&gt;0, 'Supply Side'!L49, -'Supply Side'!L49*2), )</f>
        <v>20</v>
      </c>
      <c r="G51" s="14">
        <f ca="1">IF('Order Side'!$G49, 'Supply Side'!C49, )</f>
        <v>-477</v>
      </c>
      <c r="H51" s="30">
        <f>IF('Order Side'!$G49, 'Supply Side'!F49, )</f>
        <v>20</v>
      </c>
      <c r="I51" s="31">
        <f>IF('Order Side'!$G49, 'Supply Side'!I49, )</f>
        <v>20</v>
      </c>
      <c r="J51" s="32">
        <f>IF('Order Side'!$G49, 'Supply Side'!L49, )</f>
        <v>20</v>
      </c>
      <c r="S51" s="2">
        <f t="shared" si="3"/>
        <v>48</v>
      </c>
      <c r="T51" s="33">
        <f t="shared" ref="T51:W51" ca="1" si="52">SUM(B$4:B51)</f>
        <v>19578</v>
      </c>
      <c r="U51" s="33">
        <f t="shared" si="52"/>
        <v>950</v>
      </c>
      <c r="V51" s="33">
        <f t="shared" si="52"/>
        <v>950</v>
      </c>
      <c r="W51" s="33">
        <f t="shared" si="52"/>
        <v>950</v>
      </c>
    </row>
    <row r="52" spans="1:23" x14ac:dyDescent="0.25">
      <c r="A52" s="2">
        <f t="shared" si="5"/>
        <v>49</v>
      </c>
      <c r="B52" s="10">
        <f ca="1">IF('Order Side'!$G50, IF('Supply Side'!C50&gt;0, 'Supply Side'!C50, -'Supply Side'!C50*2), )</f>
        <v>978</v>
      </c>
      <c r="C52" s="27">
        <f>IF('Order Side'!$G50, IF('Supply Side'!F50&gt;0, 'Supply Side'!F50, -'Supply Side'!F50*2), )</f>
        <v>20</v>
      </c>
      <c r="D52" s="28">
        <f>IF('Order Side'!$G50, IF('Supply Side'!I50&gt;0, 'Supply Side'!I50, -'Supply Side'!I50*2), )</f>
        <v>20</v>
      </c>
      <c r="E52" s="29">
        <f>IF('Order Side'!$G50, IF('Supply Side'!L50&gt;0, 'Supply Side'!L50, -'Supply Side'!L50*2), )</f>
        <v>20</v>
      </c>
      <c r="G52" s="14">
        <f ca="1">IF('Order Side'!$G50, 'Supply Side'!C50, )</f>
        <v>-489</v>
      </c>
      <c r="H52" s="30">
        <f>IF('Order Side'!$G50, 'Supply Side'!F50, )</f>
        <v>20</v>
      </c>
      <c r="I52" s="31">
        <f>IF('Order Side'!$G50, 'Supply Side'!I50, )</f>
        <v>20</v>
      </c>
      <c r="J52" s="32">
        <f>IF('Order Side'!$G50, 'Supply Side'!L50, )</f>
        <v>20</v>
      </c>
      <c r="S52" s="2">
        <f t="shared" si="3"/>
        <v>49</v>
      </c>
      <c r="T52" s="33">
        <f t="shared" ref="T52:W52" ca="1" si="53">SUM(B$4:B52)</f>
        <v>20556</v>
      </c>
      <c r="U52" s="33">
        <f t="shared" si="53"/>
        <v>970</v>
      </c>
      <c r="V52" s="33">
        <f t="shared" si="53"/>
        <v>970</v>
      </c>
      <c r="W52" s="33">
        <f t="shared" si="53"/>
        <v>970</v>
      </c>
    </row>
    <row r="53" spans="1:23" x14ac:dyDescent="0.25">
      <c r="A53" s="2">
        <f t="shared" si="5"/>
        <v>50</v>
      </c>
      <c r="B53" s="10">
        <f ca="1">IF('Order Side'!$G51, IF('Supply Side'!C51&gt;0, 'Supply Side'!C51, -'Supply Side'!C51*2), )</f>
        <v>1002</v>
      </c>
      <c r="C53" s="27">
        <f>IF('Order Side'!$G51, IF('Supply Side'!F51&gt;0, 'Supply Side'!F51, -'Supply Side'!F51*2), )</f>
        <v>20</v>
      </c>
      <c r="D53" s="28">
        <f>IF('Order Side'!$G51, IF('Supply Side'!I51&gt;0, 'Supply Side'!I51, -'Supply Side'!I51*2), )</f>
        <v>20</v>
      </c>
      <c r="E53" s="29">
        <f>IF('Order Side'!$G51, IF('Supply Side'!L51&gt;0, 'Supply Side'!L51, -'Supply Side'!L51*2), )</f>
        <v>20</v>
      </c>
      <c r="G53" s="14">
        <f ca="1">IF('Order Side'!$G51, 'Supply Side'!C51, )</f>
        <v>-501</v>
      </c>
      <c r="H53" s="30">
        <f>IF('Order Side'!$G51, 'Supply Side'!F51, )</f>
        <v>20</v>
      </c>
      <c r="I53" s="31">
        <f>IF('Order Side'!$G51, 'Supply Side'!I51, )</f>
        <v>20</v>
      </c>
      <c r="J53" s="32">
        <f>IF('Order Side'!$G51, 'Supply Side'!L51, )</f>
        <v>20</v>
      </c>
      <c r="S53" s="2">
        <f t="shared" si="3"/>
        <v>50</v>
      </c>
      <c r="T53" s="33">
        <f t="shared" ref="T53:W53" ca="1" si="54">SUM(B$4:B53)</f>
        <v>21558</v>
      </c>
      <c r="U53" s="33">
        <f t="shared" si="54"/>
        <v>990</v>
      </c>
      <c r="V53" s="33">
        <f t="shared" si="54"/>
        <v>990</v>
      </c>
      <c r="W53" s="33">
        <f t="shared" si="54"/>
        <v>990</v>
      </c>
    </row>
  </sheetData>
  <conditionalFormatting sqref="G1:J53">
    <cfRule type="cellIs" dxfId="16" priority="1" operator="lessThan">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52"/>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25"/>
  <cols>
    <col min="2" max="3" width="8" customWidth="1"/>
    <col min="4" max="4" width="17" customWidth="1"/>
    <col min="5" max="5" width="9" customWidth="1"/>
    <col min="6" max="6" width="8" bestFit="1" customWidth="1"/>
    <col min="7" max="7" width="19.109375" customWidth="1"/>
    <col min="8" max="8" width="17.77734375" customWidth="1"/>
  </cols>
  <sheetData>
    <row r="1" spans="1:8" x14ac:dyDescent="0.25">
      <c r="A1" s="2">
        <f ca="1">Summary!$A$1</f>
        <v>1</v>
      </c>
      <c r="B1" s="26">
        <f>SUM(B3:B52)</f>
        <v>990</v>
      </c>
      <c r="C1" s="34">
        <f t="shared" ref="C1:D1" si="0">AVERAGE(C3:C52)</f>
        <v>0.1</v>
      </c>
      <c r="D1" s="34">
        <f t="shared" si="0"/>
        <v>19.8</v>
      </c>
      <c r="E1" s="34" t="s">
        <v>28</v>
      </c>
      <c r="F1" s="34"/>
      <c r="G1" s="34">
        <f>AVERAGE(G3:G52)</f>
        <v>0.1</v>
      </c>
      <c r="H1" s="34">
        <f>IFERROR(AVERAGE(H3:H52), )</f>
        <v>0</v>
      </c>
    </row>
    <row r="2" spans="1:8" x14ac:dyDescent="0.25">
      <c r="A2" s="2" t="s">
        <v>3</v>
      </c>
      <c r="B2" s="2" t="s">
        <v>29</v>
      </c>
      <c r="C2" s="2" t="s">
        <v>30</v>
      </c>
      <c r="D2" s="2" t="s">
        <v>31</v>
      </c>
      <c r="E2" s="2" t="s">
        <v>32</v>
      </c>
      <c r="F2" s="2" t="s">
        <v>33</v>
      </c>
      <c r="G2" s="2" t="s">
        <v>34</v>
      </c>
      <c r="H2" s="2" t="s">
        <v>35</v>
      </c>
    </row>
    <row r="3" spans="1:8" x14ac:dyDescent="0.25">
      <c r="A3" s="2">
        <v>1</v>
      </c>
      <c r="B3" s="33">
        <f>Summary!E4</f>
        <v>15</v>
      </c>
      <c r="C3" s="1">
        <f>'Supply Side'!K2</f>
        <v>5</v>
      </c>
      <c r="D3" s="1">
        <f>IF('Order Side'!$G2, 'Supply Side'!L2,)</f>
        <v>15</v>
      </c>
      <c r="E3" s="1">
        <f>'Supply Side'!M2</f>
        <v>0</v>
      </c>
      <c r="F3" s="1">
        <f>'Supply Side'!N2</f>
        <v>5</v>
      </c>
      <c r="G3" s="1">
        <f>IF('Order Side'!$G2, 'Order Side'!E2,)</f>
        <v>5</v>
      </c>
      <c r="H3" s="35"/>
    </row>
    <row r="4" spans="1:8" x14ac:dyDescent="0.25">
      <c r="A4" s="2">
        <f t="shared" ref="A4:A52" si="1">A3+1</f>
        <v>2</v>
      </c>
      <c r="B4" s="33">
        <f>Summary!E5</f>
        <v>15</v>
      </c>
      <c r="C4" s="1">
        <f>'Supply Side'!K3</f>
        <v>0</v>
      </c>
      <c r="D4" s="1">
        <f>IF('Order Side'!$G3, 'Supply Side'!L3,)</f>
        <v>15</v>
      </c>
      <c r="E4" s="1">
        <f>'Supply Side'!M3</f>
        <v>5</v>
      </c>
      <c r="F4" s="1">
        <f>'Supply Side'!N3</f>
        <v>0</v>
      </c>
      <c r="G4" s="1">
        <f>IF('Order Side'!$G3, 'Order Side'!E3,)</f>
        <v>0</v>
      </c>
      <c r="H4" s="35"/>
    </row>
    <row r="5" spans="1:8" x14ac:dyDescent="0.25">
      <c r="A5" s="2">
        <f t="shared" si="1"/>
        <v>3</v>
      </c>
      <c r="B5" s="33">
        <f>Summary!E6</f>
        <v>20</v>
      </c>
      <c r="C5" s="1">
        <f>'Supply Side'!K4</f>
        <v>0</v>
      </c>
      <c r="D5" s="1">
        <f>IF('Order Side'!$G4, 'Supply Side'!L4,)</f>
        <v>20</v>
      </c>
      <c r="E5" s="1">
        <f>'Supply Side'!M4</f>
        <v>0</v>
      </c>
      <c r="F5" s="1">
        <f>'Supply Side'!N4</f>
        <v>0</v>
      </c>
      <c r="G5" s="1">
        <f>IF('Order Side'!$G4, 'Order Side'!E4,)</f>
        <v>0</v>
      </c>
      <c r="H5" s="35"/>
    </row>
    <row r="6" spans="1:8" x14ac:dyDescent="0.25">
      <c r="A6" s="2">
        <f t="shared" si="1"/>
        <v>4</v>
      </c>
      <c r="B6" s="33">
        <f>Summary!E7</f>
        <v>20</v>
      </c>
      <c r="C6" s="1">
        <f>'Supply Side'!K5</f>
        <v>0</v>
      </c>
      <c r="D6" s="1">
        <f>IF('Order Side'!$G5, 'Supply Side'!L5,)</f>
        <v>20</v>
      </c>
      <c r="E6" s="1">
        <f>'Supply Side'!M5</f>
        <v>0</v>
      </c>
      <c r="F6" s="1">
        <f>'Supply Side'!N5</f>
        <v>0</v>
      </c>
      <c r="G6" s="1">
        <f>IF('Order Side'!$G5, 'Order Side'!E5,)</f>
        <v>0</v>
      </c>
      <c r="H6" s="35"/>
    </row>
    <row r="7" spans="1:8" x14ac:dyDescent="0.25">
      <c r="A7" s="2">
        <f t="shared" si="1"/>
        <v>5</v>
      </c>
      <c r="B7" s="33">
        <f>Summary!E8</f>
        <v>20</v>
      </c>
      <c r="C7" s="1">
        <f>'Supply Side'!K6</f>
        <v>0</v>
      </c>
      <c r="D7" s="1">
        <f>IF('Order Side'!$G6, 'Supply Side'!L6,)</f>
        <v>20</v>
      </c>
      <c r="E7" s="1">
        <f>'Supply Side'!M6</f>
        <v>0</v>
      </c>
      <c r="F7" s="1">
        <f>'Supply Side'!N6</f>
        <v>0</v>
      </c>
      <c r="G7" s="1">
        <f>IF('Order Side'!$G6, 'Order Side'!E6,)</f>
        <v>0</v>
      </c>
      <c r="H7" s="35"/>
    </row>
    <row r="8" spans="1:8" x14ac:dyDescent="0.25">
      <c r="A8" s="2">
        <f t="shared" si="1"/>
        <v>6</v>
      </c>
      <c r="B8" s="33">
        <f>Summary!E9</f>
        <v>20</v>
      </c>
      <c r="C8" s="1">
        <f>'Supply Side'!K7</f>
        <v>0</v>
      </c>
      <c r="D8" s="1">
        <f>IF('Order Side'!$G7, 'Supply Side'!L7,)</f>
        <v>20</v>
      </c>
      <c r="E8" s="1">
        <f>'Supply Side'!M7</f>
        <v>0</v>
      </c>
      <c r="F8" s="1">
        <f>'Supply Side'!N7</f>
        <v>0</v>
      </c>
      <c r="G8" s="1">
        <f>IF('Order Side'!$G7, 'Order Side'!E7,)</f>
        <v>0</v>
      </c>
      <c r="H8" s="35"/>
    </row>
    <row r="9" spans="1:8" x14ac:dyDescent="0.25">
      <c r="A9" s="2">
        <f t="shared" si="1"/>
        <v>7</v>
      </c>
      <c r="B9" s="33">
        <f>Summary!E10</f>
        <v>20</v>
      </c>
      <c r="C9" s="1">
        <f>'Supply Side'!K8</f>
        <v>0</v>
      </c>
      <c r="D9" s="1">
        <f>IF('Order Side'!$G8, 'Supply Side'!L8,)</f>
        <v>20</v>
      </c>
      <c r="E9" s="1">
        <f>'Supply Side'!M8</f>
        <v>0</v>
      </c>
      <c r="F9" s="1">
        <f>'Supply Side'!N8</f>
        <v>0</v>
      </c>
      <c r="G9" s="1">
        <f>IF('Order Side'!$G8, 'Order Side'!E8,)</f>
        <v>0</v>
      </c>
      <c r="H9" s="35"/>
    </row>
    <row r="10" spans="1:8" x14ac:dyDescent="0.25">
      <c r="A10" s="2">
        <f t="shared" si="1"/>
        <v>8</v>
      </c>
      <c r="B10" s="33">
        <f>Summary!E11</f>
        <v>20</v>
      </c>
      <c r="C10" s="1">
        <f>'Supply Side'!K9</f>
        <v>0</v>
      </c>
      <c r="D10" s="1">
        <f>IF('Order Side'!$G9, 'Supply Side'!L9,)</f>
        <v>20</v>
      </c>
      <c r="E10" s="1">
        <f>'Supply Side'!M9</f>
        <v>0</v>
      </c>
      <c r="F10" s="1">
        <f>'Supply Side'!N9</f>
        <v>0</v>
      </c>
      <c r="G10" s="1">
        <f>IF('Order Side'!$G9, 'Order Side'!E9,)</f>
        <v>0</v>
      </c>
      <c r="H10" s="35"/>
    </row>
    <row r="11" spans="1:8" x14ac:dyDescent="0.25">
      <c r="A11" s="2">
        <f t="shared" si="1"/>
        <v>9</v>
      </c>
      <c r="B11" s="33">
        <f>Summary!E12</f>
        <v>20</v>
      </c>
      <c r="C11" s="1">
        <f>'Supply Side'!K10</f>
        <v>0</v>
      </c>
      <c r="D11" s="1">
        <f>IF('Order Side'!$G10, 'Supply Side'!L10,)</f>
        <v>20</v>
      </c>
      <c r="E11" s="1">
        <f>'Supply Side'!M10</f>
        <v>0</v>
      </c>
      <c r="F11" s="1">
        <f>'Supply Side'!N10</f>
        <v>0</v>
      </c>
      <c r="G11" s="1">
        <f>IF('Order Side'!$G10, 'Order Side'!E10,)</f>
        <v>0</v>
      </c>
      <c r="H11" s="35"/>
    </row>
    <row r="12" spans="1:8" x14ac:dyDescent="0.25">
      <c r="A12" s="2">
        <f t="shared" si="1"/>
        <v>10</v>
      </c>
      <c r="B12" s="33">
        <f>Summary!E13</f>
        <v>20</v>
      </c>
      <c r="C12" s="1">
        <f>'Supply Side'!K11</f>
        <v>0</v>
      </c>
      <c r="D12" s="1">
        <f>IF('Order Side'!$G11, 'Supply Side'!L11,)</f>
        <v>20</v>
      </c>
      <c r="E12" s="1">
        <f>'Supply Side'!M11</f>
        <v>0</v>
      </c>
      <c r="F12" s="1">
        <f>'Supply Side'!N11</f>
        <v>0</v>
      </c>
      <c r="G12" s="1">
        <f>IF('Order Side'!$G11, 'Order Side'!E11,)</f>
        <v>0</v>
      </c>
      <c r="H12" s="35"/>
    </row>
    <row r="13" spans="1:8" x14ac:dyDescent="0.25">
      <c r="A13" s="2">
        <f t="shared" si="1"/>
        <v>11</v>
      </c>
      <c r="B13" s="33">
        <f>Summary!E14</f>
        <v>20</v>
      </c>
      <c r="C13" s="1">
        <f>'Supply Side'!K12</f>
        <v>0</v>
      </c>
      <c r="D13" s="1">
        <f>IF('Order Side'!$G12, 'Supply Side'!L12,)</f>
        <v>20</v>
      </c>
      <c r="E13" s="1">
        <f>'Supply Side'!M12</f>
        <v>0</v>
      </c>
      <c r="F13" s="1">
        <f>'Supply Side'!N12</f>
        <v>0</v>
      </c>
      <c r="G13" s="1">
        <f>IF('Order Side'!$G12, 'Order Side'!E12,)</f>
        <v>0</v>
      </c>
      <c r="H13" s="35"/>
    </row>
    <row r="14" spans="1:8" x14ac:dyDescent="0.25">
      <c r="A14" s="2">
        <f t="shared" si="1"/>
        <v>12</v>
      </c>
      <c r="B14" s="33">
        <f>Summary!E15</f>
        <v>20</v>
      </c>
      <c r="C14" s="1">
        <f>'Supply Side'!K13</f>
        <v>0</v>
      </c>
      <c r="D14" s="1">
        <f>IF('Order Side'!$G13, 'Supply Side'!L13,)</f>
        <v>20</v>
      </c>
      <c r="E14" s="1">
        <f>'Supply Side'!M13</f>
        <v>0</v>
      </c>
      <c r="F14" s="1">
        <f>'Supply Side'!N13</f>
        <v>0</v>
      </c>
      <c r="G14" s="1">
        <f>IF('Order Side'!$G13, 'Order Side'!E13,)</f>
        <v>0</v>
      </c>
      <c r="H14" s="35"/>
    </row>
    <row r="15" spans="1:8" x14ac:dyDescent="0.25">
      <c r="A15" s="2">
        <f t="shared" si="1"/>
        <v>13</v>
      </c>
      <c r="B15" s="33">
        <f>Summary!E16</f>
        <v>20</v>
      </c>
      <c r="C15" s="1">
        <f>'Supply Side'!K14</f>
        <v>0</v>
      </c>
      <c r="D15" s="1">
        <f>IF('Order Side'!$G14, 'Supply Side'!L14,)</f>
        <v>20</v>
      </c>
      <c r="E15" s="1">
        <f>'Supply Side'!M14</f>
        <v>0</v>
      </c>
      <c r="F15" s="1">
        <f>'Supply Side'!N14</f>
        <v>0</v>
      </c>
      <c r="G15" s="1">
        <f>IF('Order Side'!$G14, 'Order Side'!E14,)</f>
        <v>0</v>
      </c>
      <c r="H15" s="35"/>
    </row>
    <row r="16" spans="1:8" x14ac:dyDescent="0.25">
      <c r="A16" s="2">
        <f t="shared" si="1"/>
        <v>14</v>
      </c>
      <c r="B16" s="33">
        <f>Summary!E17</f>
        <v>20</v>
      </c>
      <c r="C16" s="1">
        <f>'Supply Side'!K15</f>
        <v>0</v>
      </c>
      <c r="D16" s="1">
        <f>IF('Order Side'!$G15, 'Supply Side'!L15,)</f>
        <v>20</v>
      </c>
      <c r="E16" s="1">
        <f>'Supply Side'!M15</f>
        <v>0</v>
      </c>
      <c r="F16" s="1">
        <f>'Supply Side'!N15</f>
        <v>0</v>
      </c>
      <c r="G16" s="1">
        <f>IF('Order Side'!$G15, 'Order Side'!E15,)</f>
        <v>0</v>
      </c>
      <c r="H16" s="35"/>
    </row>
    <row r="17" spans="1:8" x14ac:dyDescent="0.25">
      <c r="A17" s="2">
        <f t="shared" si="1"/>
        <v>15</v>
      </c>
      <c r="B17" s="33">
        <f>Summary!E18</f>
        <v>20</v>
      </c>
      <c r="C17" s="1">
        <f>'Supply Side'!K16</f>
        <v>0</v>
      </c>
      <c r="D17" s="1">
        <f>IF('Order Side'!$G16, 'Supply Side'!L16,)</f>
        <v>20</v>
      </c>
      <c r="E17" s="1">
        <f>'Supply Side'!M16</f>
        <v>0</v>
      </c>
      <c r="F17" s="1">
        <f>'Supply Side'!N16</f>
        <v>0</v>
      </c>
      <c r="G17" s="1">
        <f>IF('Order Side'!$G16, 'Order Side'!E16,)</f>
        <v>0</v>
      </c>
      <c r="H17" s="35"/>
    </row>
    <row r="18" spans="1:8" x14ac:dyDescent="0.25">
      <c r="A18" s="2">
        <f t="shared" si="1"/>
        <v>16</v>
      </c>
      <c r="B18" s="33">
        <f>Summary!E19</f>
        <v>20</v>
      </c>
      <c r="C18" s="1">
        <f>'Supply Side'!K17</f>
        <v>0</v>
      </c>
      <c r="D18" s="1">
        <f>IF('Order Side'!$G17, 'Supply Side'!L17,)</f>
        <v>20</v>
      </c>
      <c r="E18" s="1">
        <f>'Supply Side'!M17</f>
        <v>0</v>
      </c>
      <c r="F18" s="1">
        <f>'Supply Side'!N17</f>
        <v>0</v>
      </c>
      <c r="G18" s="1">
        <f>IF('Order Side'!$G17, 'Order Side'!E17,)</f>
        <v>0</v>
      </c>
      <c r="H18" s="35"/>
    </row>
    <row r="19" spans="1:8" x14ac:dyDescent="0.25">
      <c r="A19" s="2">
        <f t="shared" si="1"/>
        <v>17</v>
      </c>
      <c r="B19" s="33">
        <f>Summary!E20</f>
        <v>20</v>
      </c>
      <c r="C19" s="1">
        <f>'Supply Side'!K18</f>
        <v>0</v>
      </c>
      <c r="D19" s="1">
        <f>IF('Order Side'!$G18, 'Supply Side'!L18,)</f>
        <v>20</v>
      </c>
      <c r="E19" s="1">
        <f>'Supply Side'!M18</f>
        <v>0</v>
      </c>
      <c r="F19" s="1">
        <f>'Supply Side'!N18</f>
        <v>0</v>
      </c>
      <c r="G19" s="1">
        <f>IF('Order Side'!$G18, 'Order Side'!E18,)</f>
        <v>0</v>
      </c>
      <c r="H19" s="35"/>
    </row>
    <row r="20" spans="1:8" x14ac:dyDescent="0.25">
      <c r="A20" s="2">
        <f t="shared" si="1"/>
        <v>18</v>
      </c>
      <c r="B20" s="33">
        <f>Summary!E21</f>
        <v>20</v>
      </c>
      <c r="C20" s="1">
        <f>'Supply Side'!K19</f>
        <v>0</v>
      </c>
      <c r="D20" s="1">
        <f>IF('Order Side'!$G19, 'Supply Side'!L19,)</f>
        <v>20</v>
      </c>
      <c r="E20" s="1">
        <f>'Supply Side'!M19</f>
        <v>0</v>
      </c>
      <c r="F20" s="1">
        <f>'Supply Side'!N19</f>
        <v>0</v>
      </c>
      <c r="G20" s="1">
        <f>IF('Order Side'!$G19, 'Order Side'!E19,)</f>
        <v>0</v>
      </c>
      <c r="H20" s="35"/>
    </row>
    <row r="21" spans="1:8" x14ac:dyDescent="0.25">
      <c r="A21" s="2">
        <f t="shared" si="1"/>
        <v>19</v>
      </c>
      <c r="B21" s="33">
        <f>Summary!E22</f>
        <v>20</v>
      </c>
      <c r="C21" s="1">
        <f>'Supply Side'!K20</f>
        <v>0</v>
      </c>
      <c r="D21" s="1">
        <f>IF('Order Side'!$G20, 'Supply Side'!L20,)</f>
        <v>20</v>
      </c>
      <c r="E21" s="1">
        <f>'Supply Side'!M20</f>
        <v>0</v>
      </c>
      <c r="F21" s="1">
        <f>'Supply Side'!N20</f>
        <v>0</v>
      </c>
      <c r="G21" s="1">
        <f>IF('Order Side'!$G20, 'Order Side'!E20,)</f>
        <v>0</v>
      </c>
      <c r="H21" s="35"/>
    </row>
    <row r="22" spans="1:8" x14ac:dyDescent="0.25">
      <c r="A22" s="2">
        <f t="shared" si="1"/>
        <v>20</v>
      </c>
      <c r="B22" s="33">
        <f>Summary!E23</f>
        <v>20</v>
      </c>
      <c r="C22" s="1">
        <f>'Supply Side'!K21</f>
        <v>0</v>
      </c>
      <c r="D22" s="1">
        <f>IF('Order Side'!$G21, 'Supply Side'!L21,)</f>
        <v>20</v>
      </c>
      <c r="E22" s="1">
        <f>'Supply Side'!M21</f>
        <v>0</v>
      </c>
      <c r="F22" s="1">
        <f>'Supply Side'!N21</f>
        <v>0</v>
      </c>
      <c r="G22" s="1">
        <f>IF('Order Side'!$G21, 'Order Side'!E21,)</f>
        <v>0</v>
      </c>
      <c r="H22" s="35"/>
    </row>
    <row r="23" spans="1:8" x14ac:dyDescent="0.25">
      <c r="A23" s="2">
        <f t="shared" si="1"/>
        <v>21</v>
      </c>
      <c r="B23" s="33">
        <f>Summary!E24</f>
        <v>20</v>
      </c>
      <c r="C23" s="1">
        <f>'Supply Side'!K22</f>
        <v>0</v>
      </c>
      <c r="D23" s="1">
        <f>IF('Order Side'!$G22, 'Supply Side'!L22,)</f>
        <v>20</v>
      </c>
      <c r="E23" s="1">
        <f>'Supply Side'!M22</f>
        <v>0</v>
      </c>
      <c r="F23" s="1">
        <f>'Supply Side'!N22</f>
        <v>0</v>
      </c>
      <c r="G23" s="1">
        <f>IF('Order Side'!$G22, 'Order Side'!E22,)</f>
        <v>0</v>
      </c>
      <c r="H23" s="35"/>
    </row>
    <row r="24" spans="1:8" x14ac:dyDescent="0.25">
      <c r="A24" s="2">
        <f t="shared" si="1"/>
        <v>22</v>
      </c>
      <c r="B24" s="33">
        <f>Summary!E25</f>
        <v>20</v>
      </c>
      <c r="C24" s="1">
        <f>'Supply Side'!K23</f>
        <v>0</v>
      </c>
      <c r="D24" s="1">
        <f>IF('Order Side'!$G23, 'Supply Side'!L23,)</f>
        <v>20</v>
      </c>
      <c r="E24" s="1">
        <f>'Supply Side'!M23</f>
        <v>0</v>
      </c>
      <c r="F24" s="1">
        <f>'Supply Side'!N23</f>
        <v>0</v>
      </c>
      <c r="G24" s="1">
        <f>IF('Order Side'!$G23, 'Order Side'!E23,)</f>
        <v>0</v>
      </c>
      <c r="H24" s="35"/>
    </row>
    <row r="25" spans="1:8" x14ac:dyDescent="0.25">
      <c r="A25" s="2">
        <f t="shared" si="1"/>
        <v>23</v>
      </c>
      <c r="B25" s="33">
        <f>Summary!E26</f>
        <v>20</v>
      </c>
      <c r="C25" s="1">
        <f>'Supply Side'!K24</f>
        <v>0</v>
      </c>
      <c r="D25" s="1">
        <f>IF('Order Side'!$G24, 'Supply Side'!L24,)</f>
        <v>20</v>
      </c>
      <c r="E25" s="1">
        <f>'Supply Side'!M24</f>
        <v>0</v>
      </c>
      <c r="F25" s="1">
        <f>'Supply Side'!N24</f>
        <v>0</v>
      </c>
      <c r="G25" s="1">
        <f>IF('Order Side'!$G24, 'Order Side'!E24,)</f>
        <v>0</v>
      </c>
      <c r="H25" s="35"/>
    </row>
    <row r="26" spans="1:8" x14ac:dyDescent="0.25">
      <c r="A26" s="2">
        <f t="shared" si="1"/>
        <v>24</v>
      </c>
      <c r="B26" s="33">
        <f>Summary!E27</f>
        <v>20</v>
      </c>
      <c r="C26" s="1">
        <f>'Supply Side'!K25</f>
        <v>0</v>
      </c>
      <c r="D26" s="1">
        <f>IF('Order Side'!$G25, 'Supply Side'!L25,)</f>
        <v>20</v>
      </c>
      <c r="E26" s="1">
        <f>'Supply Side'!M25</f>
        <v>0</v>
      </c>
      <c r="F26" s="1">
        <f>'Supply Side'!N25</f>
        <v>0</v>
      </c>
      <c r="G26" s="1">
        <f>IF('Order Side'!$G25, 'Order Side'!E25,)</f>
        <v>0</v>
      </c>
      <c r="H26" s="35"/>
    </row>
    <row r="27" spans="1:8" x14ac:dyDescent="0.25">
      <c r="A27" s="2">
        <f t="shared" si="1"/>
        <v>25</v>
      </c>
      <c r="B27" s="33">
        <f>Summary!E28</f>
        <v>20</v>
      </c>
      <c r="C27" s="1">
        <f>'Supply Side'!K26</f>
        <v>0</v>
      </c>
      <c r="D27" s="1">
        <f>IF('Order Side'!$G26, 'Supply Side'!L26,)</f>
        <v>20</v>
      </c>
      <c r="E27" s="1">
        <f>'Supply Side'!M26</f>
        <v>0</v>
      </c>
      <c r="F27" s="1">
        <f>'Supply Side'!N26</f>
        <v>0</v>
      </c>
      <c r="G27" s="1">
        <f>IF('Order Side'!$G26, 'Order Side'!E26,)</f>
        <v>0</v>
      </c>
      <c r="H27" s="35"/>
    </row>
    <row r="28" spans="1:8" x14ac:dyDescent="0.25">
      <c r="A28" s="2">
        <f t="shared" si="1"/>
        <v>26</v>
      </c>
      <c r="B28" s="33">
        <f>Summary!E29</f>
        <v>20</v>
      </c>
      <c r="C28" s="1">
        <f>'Supply Side'!K27</f>
        <v>0</v>
      </c>
      <c r="D28" s="1">
        <f>IF('Order Side'!$G27, 'Supply Side'!L27,)</f>
        <v>20</v>
      </c>
      <c r="E28" s="1">
        <f>'Supply Side'!M27</f>
        <v>0</v>
      </c>
      <c r="F28" s="1">
        <f>'Supply Side'!N27</f>
        <v>0</v>
      </c>
      <c r="G28" s="1">
        <f>IF('Order Side'!$G27, 'Order Side'!E27,)</f>
        <v>0</v>
      </c>
      <c r="H28" s="35"/>
    </row>
    <row r="29" spans="1:8" x14ac:dyDescent="0.25">
      <c r="A29" s="2">
        <f t="shared" si="1"/>
        <v>27</v>
      </c>
      <c r="B29" s="33">
        <f>Summary!E30</f>
        <v>20</v>
      </c>
      <c r="C29" s="1">
        <f>'Supply Side'!K28</f>
        <v>0</v>
      </c>
      <c r="D29" s="1">
        <f>IF('Order Side'!$G28, 'Supply Side'!L28,)</f>
        <v>20</v>
      </c>
      <c r="E29" s="1">
        <f>'Supply Side'!M28</f>
        <v>0</v>
      </c>
      <c r="F29" s="1">
        <f>'Supply Side'!N28</f>
        <v>0</v>
      </c>
      <c r="G29" s="1">
        <f>IF('Order Side'!$G28, 'Order Side'!E28,)</f>
        <v>0</v>
      </c>
      <c r="H29" s="35"/>
    </row>
    <row r="30" spans="1:8" x14ac:dyDescent="0.25">
      <c r="A30" s="2">
        <f t="shared" si="1"/>
        <v>28</v>
      </c>
      <c r="B30" s="33">
        <f>Summary!E31</f>
        <v>20</v>
      </c>
      <c r="C30" s="1">
        <f>'Supply Side'!K29</f>
        <v>0</v>
      </c>
      <c r="D30" s="1">
        <f>IF('Order Side'!$G29, 'Supply Side'!L29,)</f>
        <v>20</v>
      </c>
      <c r="E30" s="1">
        <f>'Supply Side'!M29</f>
        <v>0</v>
      </c>
      <c r="F30" s="1">
        <f>'Supply Side'!N29</f>
        <v>0</v>
      </c>
      <c r="G30" s="1">
        <f>IF('Order Side'!$G29, 'Order Side'!E29,)</f>
        <v>0</v>
      </c>
      <c r="H30" s="35"/>
    </row>
    <row r="31" spans="1:8" x14ac:dyDescent="0.25">
      <c r="A31" s="2">
        <f t="shared" si="1"/>
        <v>29</v>
      </c>
      <c r="B31" s="33">
        <f>Summary!E32</f>
        <v>20</v>
      </c>
      <c r="C31" s="1">
        <f>'Supply Side'!K30</f>
        <v>0</v>
      </c>
      <c r="D31" s="1">
        <f>IF('Order Side'!$G30, 'Supply Side'!L30,)</f>
        <v>20</v>
      </c>
      <c r="E31" s="1">
        <f>'Supply Side'!M30</f>
        <v>0</v>
      </c>
      <c r="F31" s="1">
        <f>'Supply Side'!N30</f>
        <v>0</v>
      </c>
      <c r="G31" s="1">
        <f>IF('Order Side'!$G30, 'Order Side'!E30,)</f>
        <v>0</v>
      </c>
      <c r="H31" s="35"/>
    </row>
    <row r="32" spans="1:8" x14ac:dyDescent="0.25">
      <c r="A32" s="2">
        <f t="shared" si="1"/>
        <v>30</v>
      </c>
      <c r="B32" s="33">
        <f>Summary!E33</f>
        <v>20</v>
      </c>
      <c r="C32" s="1">
        <f>'Supply Side'!K31</f>
        <v>0</v>
      </c>
      <c r="D32" s="1">
        <f>IF('Order Side'!$G31, 'Supply Side'!L31,)</f>
        <v>20</v>
      </c>
      <c r="E32" s="1">
        <f>'Supply Side'!M31</f>
        <v>0</v>
      </c>
      <c r="F32" s="1">
        <f>'Supply Side'!N31</f>
        <v>0</v>
      </c>
      <c r="G32" s="1">
        <f>IF('Order Side'!$G31, 'Order Side'!E31,)</f>
        <v>0</v>
      </c>
      <c r="H32" s="35"/>
    </row>
    <row r="33" spans="1:8" x14ac:dyDescent="0.25">
      <c r="A33" s="2">
        <f t="shared" si="1"/>
        <v>31</v>
      </c>
      <c r="B33" s="33">
        <f>Summary!E34</f>
        <v>20</v>
      </c>
      <c r="C33" s="1">
        <f>'Supply Side'!K32</f>
        <v>0</v>
      </c>
      <c r="D33" s="1">
        <f>IF('Order Side'!$G32, 'Supply Side'!L32,)</f>
        <v>20</v>
      </c>
      <c r="E33" s="1">
        <f>'Supply Side'!M32</f>
        <v>0</v>
      </c>
      <c r="F33" s="1">
        <f>'Supply Side'!N32</f>
        <v>0</v>
      </c>
      <c r="G33" s="1">
        <f>IF('Order Side'!$G32, 'Order Side'!E32,)</f>
        <v>0</v>
      </c>
      <c r="H33" s="35"/>
    </row>
    <row r="34" spans="1:8" x14ac:dyDescent="0.25">
      <c r="A34" s="2">
        <f t="shared" si="1"/>
        <v>32</v>
      </c>
      <c r="B34" s="33">
        <f>Summary!E35</f>
        <v>20</v>
      </c>
      <c r="C34" s="1">
        <f>'Supply Side'!K33</f>
        <v>0</v>
      </c>
      <c r="D34" s="1">
        <f>IF('Order Side'!$G33, 'Supply Side'!L33,)</f>
        <v>20</v>
      </c>
      <c r="E34" s="1">
        <f>'Supply Side'!M33</f>
        <v>0</v>
      </c>
      <c r="F34" s="1">
        <f>'Supply Side'!N33</f>
        <v>0</v>
      </c>
      <c r="G34" s="1">
        <f>IF('Order Side'!$G33, 'Order Side'!E33,)</f>
        <v>0</v>
      </c>
      <c r="H34" s="35"/>
    </row>
    <row r="35" spans="1:8" x14ac:dyDescent="0.25">
      <c r="A35" s="2">
        <f t="shared" si="1"/>
        <v>33</v>
      </c>
      <c r="B35" s="33">
        <f>Summary!E36</f>
        <v>20</v>
      </c>
      <c r="C35" s="1">
        <f>'Supply Side'!K34</f>
        <v>0</v>
      </c>
      <c r="D35" s="1">
        <f>IF('Order Side'!$G34, 'Supply Side'!L34,)</f>
        <v>20</v>
      </c>
      <c r="E35" s="1">
        <f>'Supply Side'!M34</f>
        <v>0</v>
      </c>
      <c r="F35" s="1">
        <f>'Supply Side'!N34</f>
        <v>0</v>
      </c>
      <c r="G35" s="1">
        <f>IF('Order Side'!$G34, 'Order Side'!E34,)</f>
        <v>0</v>
      </c>
      <c r="H35" s="35"/>
    </row>
    <row r="36" spans="1:8" x14ac:dyDescent="0.25">
      <c r="A36" s="2">
        <f t="shared" si="1"/>
        <v>34</v>
      </c>
      <c r="B36" s="33">
        <f>Summary!E37</f>
        <v>20</v>
      </c>
      <c r="C36" s="1">
        <f>'Supply Side'!K35</f>
        <v>0</v>
      </c>
      <c r="D36" s="1">
        <f>IF('Order Side'!$G35, 'Supply Side'!L35,)</f>
        <v>20</v>
      </c>
      <c r="E36" s="1">
        <f>'Supply Side'!M35</f>
        <v>0</v>
      </c>
      <c r="F36" s="1">
        <f>'Supply Side'!N35</f>
        <v>0</v>
      </c>
      <c r="G36" s="1">
        <f>IF('Order Side'!$G35, 'Order Side'!E35,)</f>
        <v>0</v>
      </c>
      <c r="H36" s="35"/>
    </row>
    <row r="37" spans="1:8" x14ac:dyDescent="0.25">
      <c r="A37" s="2">
        <f t="shared" si="1"/>
        <v>35</v>
      </c>
      <c r="B37" s="33">
        <f>Summary!E38</f>
        <v>20</v>
      </c>
      <c r="C37" s="1">
        <f>'Supply Side'!K36</f>
        <v>0</v>
      </c>
      <c r="D37" s="1">
        <f>IF('Order Side'!$G36, 'Supply Side'!L36,)</f>
        <v>20</v>
      </c>
      <c r="E37" s="1">
        <f>'Supply Side'!M36</f>
        <v>0</v>
      </c>
      <c r="F37" s="1">
        <f>'Supply Side'!N36</f>
        <v>0</v>
      </c>
      <c r="G37" s="1">
        <f>IF('Order Side'!$G36, 'Order Side'!E36,)</f>
        <v>0</v>
      </c>
      <c r="H37" s="35"/>
    </row>
    <row r="38" spans="1:8" x14ac:dyDescent="0.25">
      <c r="A38" s="2">
        <f t="shared" si="1"/>
        <v>36</v>
      </c>
      <c r="B38" s="33">
        <f>Summary!E39</f>
        <v>20</v>
      </c>
      <c r="C38" s="1">
        <f>'Supply Side'!K37</f>
        <v>0</v>
      </c>
      <c r="D38" s="1">
        <f>IF('Order Side'!$G37, 'Supply Side'!L37,)</f>
        <v>20</v>
      </c>
      <c r="E38" s="1">
        <f>'Supply Side'!M37</f>
        <v>0</v>
      </c>
      <c r="F38" s="1">
        <f>'Supply Side'!N37</f>
        <v>0</v>
      </c>
      <c r="G38" s="1">
        <f>IF('Order Side'!$G37, 'Order Side'!E37,)</f>
        <v>0</v>
      </c>
      <c r="H38" s="35"/>
    </row>
    <row r="39" spans="1:8" x14ac:dyDescent="0.25">
      <c r="A39" s="2">
        <f t="shared" si="1"/>
        <v>37</v>
      </c>
      <c r="B39" s="33">
        <f>Summary!E40</f>
        <v>20</v>
      </c>
      <c r="C39" s="1">
        <f>'Supply Side'!K38</f>
        <v>0</v>
      </c>
      <c r="D39" s="1">
        <f>IF('Order Side'!$G38, 'Supply Side'!L38,)</f>
        <v>20</v>
      </c>
      <c r="E39" s="1">
        <f>'Supply Side'!M38</f>
        <v>0</v>
      </c>
      <c r="F39" s="1">
        <f>'Supply Side'!N38</f>
        <v>0</v>
      </c>
      <c r="G39" s="1">
        <f>IF('Order Side'!$G38, 'Order Side'!E38,)</f>
        <v>0</v>
      </c>
      <c r="H39" s="35"/>
    </row>
    <row r="40" spans="1:8" x14ac:dyDescent="0.25">
      <c r="A40" s="2">
        <f t="shared" si="1"/>
        <v>38</v>
      </c>
      <c r="B40" s="33">
        <f>Summary!E41</f>
        <v>20</v>
      </c>
      <c r="C40" s="1">
        <f>'Supply Side'!K39</f>
        <v>0</v>
      </c>
      <c r="D40" s="1">
        <f>IF('Order Side'!$G39, 'Supply Side'!L39,)</f>
        <v>20</v>
      </c>
      <c r="E40" s="1">
        <f>'Supply Side'!M39</f>
        <v>0</v>
      </c>
      <c r="F40" s="1">
        <f>'Supply Side'!N39</f>
        <v>0</v>
      </c>
      <c r="G40" s="1">
        <f>IF('Order Side'!$G39, 'Order Side'!E39,)</f>
        <v>0</v>
      </c>
      <c r="H40" s="35"/>
    </row>
    <row r="41" spans="1:8" x14ac:dyDescent="0.25">
      <c r="A41" s="2">
        <f t="shared" si="1"/>
        <v>39</v>
      </c>
      <c r="B41" s="33">
        <f>Summary!E42</f>
        <v>20</v>
      </c>
      <c r="C41" s="1">
        <f>'Supply Side'!K40</f>
        <v>0</v>
      </c>
      <c r="D41" s="1">
        <f>IF('Order Side'!$G40, 'Supply Side'!L40,)</f>
        <v>20</v>
      </c>
      <c r="E41" s="1">
        <f>'Supply Side'!M40</f>
        <v>0</v>
      </c>
      <c r="F41" s="1">
        <f>'Supply Side'!N40</f>
        <v>0</v>
      </c>
      <c r="G41" s="1">
        <f>IF('Order Side'!$G40, 'Order Side'!E40,)</f>
        <v>0</v>
      </c>
      <c r="H41" s="35"/>
    </row>
    <row r="42" spans="1:8" x14ac:dyDescent="0.25">
      <c r="A42" s="2">
        <f t="shared" si="1"/>
        <v>40</v>
      </c>
      <c r="B42" s="33">
        <f>Summary!E43</f>
        <v>20</v>
      </c>
      <c r="C42" s="1">
        <f>'Supply Side'!K41</f>
        <v>0</v>
      </c>
      <c r="D42" s="1">
        <f>IF('Order Side'!$G41, 'Supply Side'!L41,)</f>
        <v>20</v>
      </c>
      <c r="E42" s="1">
        <f>'Supply Side'!M41</f>
        <v>0</v>
      </c>
      <c r="F42" s="1">
        <f>'Supply Side'!N41</f>
        <v>0</v>
      </c>
      <c r="G42" s="1">
        <f>IF('Order Side'!$G41, 'Order Side'!E41,)</f>
        <v>0</v>
      </c>
      <c r="H42" s="35"/>
    </row>
    <row r="43" spans="1:8" x14ac:dyDescent="0.25">
      <c r="A43" s="2">
        <f t="shared" si="1"/>
        <v>41</v>
      </c>
      <c r="B43" s="33">
        <f>Summary!E44</f>
        <v>20</v>
      </c>
      <c r="C43" s="1">
        <f>'Supply Side'!K42</f>
        <v>0</v>
      </c>
      <c r="D43" s="1">
        <f>IF('Order Side'!$G42, 'Supply Side'!L42,)</f>
        <v>20</v>
      </c>
      <c r="E43" s="1">
        <f>'Supply Side'!M42</f>
        <v>0</v>
      </c>
      <c r="F43" s="1">
        <f>'Supply Side'!N42</f>
        <v>0</v>
      </c>
      <c r="G43" s="1">
        <f>IF('Order Side'!$G42, 'Order Side'!E42,)</f>
        <v>0</v>
      </c>
      <c r="H43" s="35"/>
    </row>
    <row r="44" spans="1:8" x14ac:dyDescent="0.25">
      <c r="A44" s="2">
        <f t="shared" si="1"/>
        <v>42</v>
      </c>
      <c r="B44" s="33">
        <f>Summary!E45</f>
        <v>20</v>
      </c>
      <c r="C44" s="1">
        <f>'Supply Side'!K43</f>
        <v>0</v>
      </c>
      <c r="D44" s="1">
        <f>IF('Order Side'!$G43, 'Supply Side'!L43,)</f>
        <v>20</v>
      </c>
      <c r="E44" s="1">
        <f>'Supply Side'!M43</f>
        <v>0</v>
      </c>
      <c r="F44" s="1">
        <f>'Supply Side'!N43</f>
        <v>0</v>
      </c>
      <c r="G44" s="1">
        <f>IF('Order Side'!$G43, 'Order Side'!E43,)</f>
        <v>0</v>
      </c>
      <c r="H44" s="35"/>
    </row>
    <row r="45" spans="1:8" x14ac:dyDescent="0.25">
      <c r="A45" s="2">
        <f t="shared" si="1"/>
        <v>43</v>
      </c>
      <c r="B45" s="33">
        <f>Summary!E46</f>
        <v>20</v>
      </c>
      <c r="C45" s="1">
        <f>'Supply Side'!K44</f>
        <v>0</v>
      </c>
      <c r="D45" s="1">
        <f>IF('Order Side'!$G44, 'Supply Side'!L44,)</f>
        <v>20</v>
      </c>
      <c r="E45" s="1">
        <f>'Supply Side'!M44</f>
        <v>0</v>
      </c>
      <c r="F45" s="1">
        <f>'Supply Side'!N44</f>
        <v>0</v>
      </c>
      <c r="G45" s="1">
        <f>IF('Order Side'!$G44, 'Order Side'!E44,)</f>
        <v>0</v>
      </c>
      <c r="H45" s="35"/>
    </row>
    <row r="46" spans="1:8" x14ac:dyDescent="0.25">
      <c r="A46" s="2">
        <f t="shared" si="1"/>
        <v>44</v>
      </c>
      <c r="B46" s="33">
        <f>Summary!E47</f>
        <v>20</v>
      </c>
      <c r="C46" s="1">
        <f>'Supply Side'!K45</f>
        <v>0</v>
      </c>
      <c r="D46" s="1">
        <f>IF('Order Side'!$G45, 'Supply Side'!L45,)</f>
        <v>20</v>
      </c>
      <c r="E46" s="1">
        <f>'Supply Side'!M45</f>
        <v>0</v>
      </c>
      <c r="F46" s="1">
        <f>'Supply Side'!N45</f>
        <v>0</v>
      </c>
      <c r="G46" s="1">
        <f>IF('Order Side'!$G45, 'Order Side'!E45,)</f>
        <v>0</v>
      </c>
      <c r="H46" s="35"/>
    </row>
    <row r="47" spans="1:8" x14ac:dyDescent="0.25">
      <c r="A47" s="2">
        <f t="shared" si="1"/>
        <v>45</v>
      </c>
      <c r="B47" s="33">
        <f>Summary!E48</f>
        <v>20</v>
      </c>
      <c r="C47" s="1">
        <f>'Supply Side'!K46</f>
        <v>0</v>
      </c>
      <c r="D47" s="1">
        <f>IF('Order Side'!$G46, 'Supply Side'!L46,)</f>
        <v>20</v>
      </c>
      <c r="E47" s="1">
        <f>'Supply Side'!M46</f>
        <v>0</v>
      </c>
      <c r="F47" s="1">
        <f>'Supply Side'!N46</f>
        <v>0</v>
      </c>
      <c r="G47" s="1">
        <f>IF('Order Side'!$G46, 'Order Side'!E46,)</f>
        <v>0</v>
      </c>
      <c r="H47" s="35"/>
    </row>
    <row r="48" spans="1:8" x14ac:dyDescent="0.25">
      <c r="A48" s="2">
        <f t="shared" si="1"/>
        <v>46</v>
      </c>
      <c r="B48" s="33">
        <f>Summary!E49</f>
        <v>20</v>
      </c>
      <c r="C48" s="1">
        <f>'Supply Side'!K47</f>
        <v>0</v>
      </c>
      <c r="D48" s="1">
        <f>IF('Order Side'!$G47, 'Supply Side'!L47,)</f>
        <v>20</v>
      </c>
      <c r="E48" s="1">
        <f>'Supply Side'!M47</f>
        <v>0</v>
      </c>
      <c r="F48" s="1">
        <f>'Supply Side'!N47</f>
        <v>0</v>
      </c>
      <c r="G48" s="1">
        <f>IF('Order Side'!$G47, 'Order Side'!E47,)</f>
        <v>0</v>
      </c>
      <c r="H48" s="35"/>
    </row>
    <row r="49" spans="1:8" x14ac:dyDescent="0.25">
      <c r="A49" s="2">
        <f t="shared" si="1"/>
        <v>47</v>
      </c>
      <c r="B49" s="33">
        <f>Summary!E50</f>
        <v>20</v>
      </c>
      <c r="C49" s="1">
        <f>'Supply Side'!K48</f>
        <v>0</v>
      </c>
      <c r="D49" s="1">
        <f>IF('Order Side'!$G48, 'Supply Side'!L48,)</f>
        <v>20</v>
      </c>
      <c r="E49" s="1">
        <f>'Supply Side'!M48</f>
        <v>0</v>
      </c>
      <c r="F49" s="1">
        <f>'Supply Side'!N48</f>
        <v>0</v>
      </c>
      <c r="G49" s="1">
        <f>IF('Order Side'!$G48, 'Order Side'!E48,)</f>
        <v>0</v>
      </c>
      <c r="H49" s="35"/>
    </row>
    <row r="50" spans="1:8" x14ac:dyDescent="0.25">
      <c r="A50" s="2">
        <f t="shared" si="1"/>
        <v>48</v>
      </c>
      <c r="B50" s="33">
        <f>Summary!E51</f>
        <v>20</v>
      </c>
      <c r="C50" s="1">
        <f>'Supply Side'!K49</f>
        <v>0</v>
      </c>
      <c r="D50" s="1">
        <f>IF('Order Side'!$G49, 'Supply Side'!L49,)</f>
        <v>20</v>
      </c>
      <c r="E50" s="1">
        <f>'Supply Side'!M49</f>
        <v>0</v>
      </c>
      <c r="F50" s="1">
        <f>'Supply Side'!N49</f>
        <v>0</v>
      </c>
      <c r="G50" s="1">
        <f>IF('Order Side'!$G49, 'Order Side'!E49,)</f>
        <v>0</v>
      </c>
      <c r="H50" s="35"/>
    </row>
    <row r="51" spans="1:8" x14ac:dyDescent="0.25">
      <c r="A51" s="2">
        <f t="shared" si="1"/>
        <v>49</v>
      </c>
      <c r="B51" s="33">
        <f>Summary!E52</f>
        <v>20</v>
      </c>
      <c r="C51" s="1">
        <f>'Supply Side'!K50</f>
        <v>0</v>
      </c>
      <c r="D51" s="1">
        <f>IF('Order Side'!$G50, 'Supply Side'!L50,)</f>
        <v>20</v>
      </c>
      <c r="E51" s="1">
        <f>'Supply Side'!M50</f>
        <v>0</v>
      </c>
      <c r="F51" s="1">
        <f>'Supply Side'!N50</f>
        <v>0</v>
      </c>
      <c r="G51" s="1">
        <f>IF('Order Side'!$G50, 'Order Side'!E50,)</f>
        <v>0</v>
      </c>
      <c r="H51" s="35"/>
    </row>
    <row r="52" spans="1:8" x14ac:dyDescent="0.25">
      <c r="A52" s="2">
        <f t="shared" si="1"/>
        <v>50</v>
      </c>
      <c r="B52" s="33">
        <f>Summary!E53</f>
        <v>20</v>
      </c>
      <c r="C52" s="1">
        <f>'Supply Side'!K51</f>
        <v>0</v>
      </c>
      <c r="D52" s="1">
        <f>IF('Order Side'!$G51, 'Supply Side'!L51,)</f>
        <v>20</v>
      </c>
      <c r="E52" s="1">
        <f>'Supply Side'!M51</f>
        <v>0</v>
      </c>
      <c r="F52" s="1">
        <f>'Supply Side'!N51</f>
        <v>0</v>
      </c>
      <c r="G52" s="1">
        <f>IF('Order Side'!$G51, 'Order Side'!E51,)</f>
        <v>0</v>
      </c>
      <c r="H52" s="35"/>
    </row>
  </sheetData>
  <conditionalFormatting sqref="C2:C52">
    <cfRule type="expression" dxfId="15" priority="4">
      <formula>$G2&lt;=C2</formula>
    </cfRule>
  </conditionalFormatting>
  <conditionalFormatting sqref="D1:D52">
    <cfRule type="cellIs" dxfId="14" priority="2" operator="lessThanOrEqual">
      <formula>0</formula>
    </cfRule>
  </conditionalFormatting>
  <conditionalFormatting sqref="E1:F52 C2:C52">
    <cfRule type="cellIs" dxfId="13" priority="3" operator="equal">
      <formula>0</formula>
    </cfRule>
  </conditionalFormatting>
  <conditionalFormatting sqref="H2:H52">
    <cfRule type="expression" dxfId="12" priority="1">
      <formula>$A2=$A$1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5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25"/>
  <cols>
    <col min="2" max="3" width="8.109375" customWidth="1"/>
    <col min="4" max="4" width="16.33203125" customWidth="1"/>
    <col min="5" max="5" width="8.33203125" customWidth="1"/>
    <col min="6" max="6" width="10.44140625" customWidth="1"/>
    <col min="7" max="7" width="19.88671875" customWidth="1"/>
    <col min="8" max="8" width="17.77734375" customWidth="1"/>
  </cols>
  <sheetData>
    <row r="1" spans="1:8" x14ac:dyDescent="0.25">
      <c r="A1" s="2">
        <f ca="1">Summary!$A$1</f>
        <v>1</v>
      </c>
      <c r="B1" s="26">
        <f>SUM(B3:B52)</f>
        <v>990</v>
      </c>
      <c r="C1" s="34">
        <f t="shared" ref="C1:D1" si="0">AVERAGE(C3:C52)</f>
        <v>0.1</v>
      </c>
      <c r="D1" s="34">
        <f t="shared" si="0"/>
        <v>19.8</v>
      </c>
      <c r="E1" s="34" t="s">
        <v>28</v>
      </c>
      <c r="F1" s="34"/>
      <c r="G1" s="34">
        <f>AVERAGE(G3:G52)</f>
        <v>0.1</v>
      </c>
      <c r="H1" s="34">
        <f>IFERROR(AVERAGE(H3:H52), )</f>
        <v>0</v>
      </c>
    </row>
    <row r="2" spans="1:8" x14ac:dyDescent="0.25">
      <c r="A2" s="2" t="s">
        <v>3</v>
      </c>
      <c r="B2" s="2" t="s">
        <v>29</v>
      </c>
      <c r="C2" s="2" t="s">
        <v>30</v>
      </c>
      <c r="D2" s="2" t="s">
        <v>31</v>
      </c>
      <c r="E2" s="36" t="s">
        <v>32</v>
      </c>
      <c r="F2" s="36" t="s">
        <v>33</v>
      </c>
      <c r="G2" s="2" t="s">
        <v>34</v>
      </c>
      <c r="H2" s="2" t="s">
        <v>35</v>
      </c>
    </row>
    <row r="3" spans="1:8" x14ac:dyDescent="0.25">
      <c r="A3" s="2">
        <v>1</v>
      </c>
      <c r="B3" s="33">
        <f>Summary!D4</f>
        <v>15</v>
      </c>
      <c r="C3" s="1">
        <f>'Supply Side'!H2</f>
        <v>5</v>
      </c>
      <c r="D3" s="1">
        <f>IF('Order Side'!$G2, 'Supply Side'!I2,)</f>
        <v>15</v>
      </c>
      <c r="E3" s="37">
        <f>'Supply Side'!J2</f>
        <v>0</v>
      </c>
      <c r="F3" s="37">
        <f>'Supply Side'!K2</f>
        <v>5</v>
      </c>
      <c r="G3" s="1">
        <f>IF('Order Side'!$G2, 'Order Side'!D2,)</f>
        <v>5</v>
      </c>
      <c r="H3" s="35"/>
    </row>
    <row r="4" spans="1:8" x14ac:dyDescent="0.25">
      <c r="A4" s="2">
        <f t="shared" ref="A4:A52" si="1">A3+1</f>
        <v>2</v>
      </c>
      <c r="B4" s="33">
        <f>Summary!D5</f>
        <v>15</v>
      </c>
      <c r="C4" s="1">
        <f>'Supply Side'!H3</f>
        <v>0</v>
      </c>
      <c r="D4" s="1">
        <f>IF('Order Side'!$G3, 'Supply Side'!I3,)</f>
        <v>15</v>
      </c>
      <c r="E4" s="37">
        <f>'Supply Side'!J3</f>
        <v>5</v>
      </c>
      <c r="F4" s="37">
        <f>'Supply Side'!K3</f>
        <v>0</v>
      </c>
      <c r="G4" s="1">
        <f>IF('Order Side'!$G3, 'Order Side'!D3,)</f>
        <v>0</v>
      </c>
      <c r="H4" s="35"/>
    </row>
    <row r="5" spans="1:8" x14ac:dyDescent="0.25">
      <c r="A5" s="2">
        <f t="shared" si="1"/>
        <v>3</v>
      </c>
      <c r="B5" s="33">
        <f>Summary!D6</f>
        <v>20</v>
      </c>
      <c r="C5" s="1">
        <f>'Supply Side'!H4</f>
        <v>0</v>
      </c>
      <c r="D5" s="1">
        <f>IF('Order Side'!$G4, 'Supply Side'!I4,)</f>
        <v>20</v>
      </c>
      <c r="E5" s="37">
        <f>'Supply Side'!J4</f>
        <v>0</v>
      </c>
      <c r="F5" s="37">
        <f>'Supply Side'!K4</f>
        <v>0</v>
      </c>
      <c r="G5" s="1">
        <f>IF('Order Side'!$G4, 'Order Side'!D4,)</f>
        <v>0</v>
      </c>
      <c r="H5" s="35"/>
    </row>
    <row r="6" spans="1:8" x14ac:dyDescent="0.25">
      <c r="A6" s="2">
        <f t="shared" si="1"/>
        <v>4</v>
      </c>
      <c r="B6" s="33">
        <f>Summary!D7</f>
        <v>20</v>
      </c>
      <c r="C6" s="1">
        <f>'Supply Side'!H5</f>
        <v>0</v>
      </c>
      <c r="D6" s="1">
        <f>IF('Order Side'!$G5, 'Supply Side'!I5,)</f>
        <v>20</v>
      </c>
      <c r="E6" s="37">
        <f>'Supply Side'!J5</f>
        <v>0</v>
      </c>
      <c r="F6" s="37">
        <f>'Supply Side'!K5</f>
        <v>0</v>
      </c>
      <c r="G6" s="1">
        <f>IF('Order Side'!$G5, 'Order Side'!D5,)</f>
        <v>0</v>
      </c>
      <c r="H6" s="35"/>
    </row>
    <row r="7" spans="1:8" x14ac:dyDescent="0.25">
      <c r="A7" s="2">
        <f t="shared" si="1"/>
        <v>5</v>
      </c>
      <c r="B7" s="33">
        <f>Summary!D8</f>
        <v>20</v>
      </c>
      <c r="C7" s="1">
        <f>'Supply Side'!H6</f>
        <v>0</v>
      </c>
      <c r="D7" s="1">
        <f>IF('Order Side'!$G6, 'Supply Side'!I6,)</f>
        <v>20</v>
      </c>
      <c r="E7" s="37">
        <f>'Supply Side'!J6</f>
        <v>0</v>
      </c>
      <c r="F7" s="37">
        <f>'Supply Side'!K6</f>
        <v>0</v>
      </c>
      <c r="G7" s="1">
        <f>IF('Order Side'!$G6, 'Order Side'!D6,)</f>
        <v>0</v>
      </c>
      <c r="H7" s="35"/>
    </row>
    <row r="8" spans="1:8" x14ac:dyDescent="0.25">
      <c r="A8" s="2">
        <f t="shared" si="1"/>
        <v>6</v>
      </c>
      <c r="B8" s="33">
        <f>Summary!D9</f>
        <v>20</v>
      </c>
      <c r="C8" s="1">
        <f>'Supply Side'!H7</f>
        <v>0</v>
      </c>
      <c r="D8" s="1">
        <f>IF('Order Side'!$G7, 'Supply Side'!I7,)</f>
        <v>20</v>
      </c>
      <c r="E8" s="37">
        <f>'Supply Side'!J7</f>
        <v>0</v>
      </c>
      <c r="F8" s="37">
        <f>'Supply Side'!K7</f>
        <v>0</v>
      </c>
      <c r="G8" s="1">
        <f>IF('Order Side'!$G7, 'Order Side'!D7,)</f>
        <v>0</v>
      </c>
      <c r="H8" s="35"/>
    </row>
    <row r="9" spans="1:8" x14ac:dyDescent="0.25">
      <c r="A9" s="2">
        <f t="shared" si="1"/>
        <v>7</v>
      </c>
      <c r="B9" s="33">
        <f>Summary!D10</f>
        <v>20</v>
      </c>
      <c r="C9" s="1">
        <f>'Supply Side'!H8</f>
        <v>0</v>
      </c>
      <c r="D9" s="1">
        <f>IF('Order Side'!$G8, 'Supply Side'!I8,)</f>
        <v>20</v>
      </c>
      <c r="E9" s="37">
        <f>'Supply Side'!J8</f>
        <v>0</v>
      </c>
      <c r="F9" s="37">
        <f>'Supply Side'!K8</f>
        <v>0</v>
      </c>
      <c r="G9" s="1">
        <f>IF('Order Side'!$G8, 'Order Side'!D8,)</f>
        <v>0</v>
      </c>
      <c r="H9" s="35"/>
    </row>
    <row r="10" spans="1:8" x14ac:dyDescent="0.25">
      <c r="A10" s="2">
        <f t="shared" si="1"/>
        <v>8</v>
      </c>
      <c r="B10" s="33">
        <f>Summary!D11</f>
        <v>20</v>
      </c>
      <c r="C10" s="1">
        <f>'Supply Side'!H9</f>
        <v>0</v>
      </c>
      <c r="D10" s="1">
        <f>IF('Order Side'!$G9, 'Supply Side'!I9,)</f>
        <v>20</v>
      </c>
      <c r="E10" s="37">
        <f>'Supply Side'!J9</f>
        <v>0</v>
      </c>
      <c r="F10" s="37">
        <f>'Supply Side'!K9</f>
        <v>0</v>
      </c>
      <c r="G10" s="1">
        <f>IF('Order Side'!$G9, 'Order Side'!D9,)</f>
        <v>0</v>
      </c>
      <c r="H10" s="35"/>
    </row>
    <row r="11" spans="1:8" x14ac:dyDescent="0.25">
      <c r="A11" s="2">
        <f t="shared" si="1"/>
        <v>9</v>
      </c>
      <c r="B11" s="33">
        <f>Summary!D12</f>
        <v>20</v>
      </c>
      <c r="C11" s="1">
        <f>'Supply Side'!H10</f>
        <v>0</v>
      </c>
      <c r="D11" s="1">
        <f>IF('Order Side'!$G10, 'Supply Side'!I10,)</f>
        <v>20</v>
      </c>
      <c r="E11" s="37">
        <f>'Supply Side'!J10</f>
        <v>0</v>
      </c>
      <c r="F11" s="37">
        <f>'Supply Side'!K10</f>
        <v>0</v>
      </c>
      <c r="G11" s="1">
        <f>IF('Order Side'!$G10, 'Order Side'!D10,)</f>
        <v>0</v>
      </c>
      <c r="H11" s="35"/>
    </row>
    <row r="12" spans="1:8" x14ac:dyDescent="0.25">
      <c r="A12" s="2">
        <f t="shared" si="1"/>
        <v>10</v>
      </c>
      <c r="B12" s="33">
        <f>Summary!D13</f>
        <v>20</v>
      </c>
      <c r="C12" s="1">
        <f>'Supply Side'!H11</f>
        <v>0</v>
      </c>
      <c r="D12" s="1">
        <f>IF('Order Side'!$G11, 'Supply Side'!I11,)</f>
        <v>20</v>
      </c>
      <c r="E12" s="37">
        <f>'Supply Side'!J11</f>
        <v>0</v>
      </c>
      <c r="F12" s="37">
        <f>'Supply Side'!K11</f>
        <v>0</v>
      </c>
      <c r="G12" s="1">
        <f>IF('Order Side'!$G11, 'Order Side'!D11,)</f>
        <v>0</v>
      </c>
      <c r="H12" s="35"/>
    </row>
    <row r="13" spans="1:8" x14ac:dyDescent="0.25">
      <c r="A13" s="2">
        <f t="shared" si="1"/>
        <v>11</v>
      </c>
      <c r="B13" s="33">
        <f>Summary!D14</f>
        <v>20</v>
      </c>
      <c r="C13" s="1">
        <f>'Supply Side'!H12</f>
        <v>0</v>
      </c>
      <c r="D13" s="1">
        <f>IF('Order Side'!$G12, 'Supply Side'!I12,)</f>
        <v>20</v>
      </c>
      <c r="E13" s="37">
        <f>'Supply Side'!J12</f>
        <v>0</v>
      </c>
      <c r="F13" s="37">
        <f>'Supply Side'!K12</f>
        <v>0</v>
      </c>
      <c r="G13" s="1">
        <f>IF('Order Side'!$G12, 'Order Side'!D12,)</f>
        <v>0</v>
      </c>
      <c r="H13" s="35"/>
    </row>
    <row r="14" spans="1:8" x14ac:dyDescent="0.25">
      <c r="A14" s="2">
        <f t="shared" si="1"/>
        <v>12</v>
      </c>
      <c r="B14" s="33">
        <f>Summary!D15</f>
        <v>20</v>
      </c>
      <c r="C14" s="1">
        <f>'Supply Side'!H13</f>
        <v>0</v>
      </c>
      <c r="D14" s="1">
        <f>IF('Order Side'!$G13, 'Supply Side'!I13,)</f>
        <v>20</v>
      </c>
      <c r="E14" s="37">
        <f>'Supply Side'!J13</f>
        <v>0</v>
      </c>
      <c r="F14" s="37">
        <f>'Supply Side'!K13</f>
        <v>0</v>
      </c>
      <c r="G14" s="1">
        <f>IF('Order Side'!$G13, 'Order Side'!D13,)</f>
        <v>0</v>
      </c>
      <c r="H14" s="35"/>
    </row>
    <row r="15" spans="1:8" x14ac:dyDescent="0.25">
      <c r="A15" s="2">
        <f t="shared" si="1"/>
        <v>13</v>
      </c>
      <c r="B15" s="33">
        <f>Summary!D16</f>
        <v>20</v>
      </c>
      <c r="C15" s="1">
        <f>'Supply Side'!H14</f>
        <v>0</v>
      </c>
      <c r="D15" s="1">
        <f>IF('Order Side'!$G14, 'Supply Side'!I14,)</f>
        <v>20</v>
      </c>
      <c r="E15" s="37">
        <f>'Supply Side'!J14</f>
        <v>0</v>
      </c>
      <c r="F15" s="37">
        <f>'Supply Side'!K14</f>
        <v>0</v>
      </c>
      <c r="G15" s="1">
        <f>IF('Order Side'!$G14, 'Order Side'!D14,)</f>
        <v>0</v>
      </c>
      <c r="H15" s="35"/>
    </row>
    <row r="16" spans="1:8" x14ac:dyDescent="0.25">
      <c r="A16" s="2">
        <f t="shared" si="1"/>
        <v>14</v>
      </c>
      <c r="B16" s="33">
        <f>Summary!D17</f>
        <v>20</v>
      </c>
      <c r="C16" s="1">
        <f>'Supply Side'!H15</f>
        <v>0</v>
      </c>
      <c r="D16" s="1">
        <f>IF('Order Side'!$G15, 'Supply Side'!I15,)</f>
        <v>20</v>
      </c>
      <c r="E16" s="37">
        <f>'Supply Side'!J15</f>
        <v>0</v>
      </c>
      <c r="F16" s="37">
        <f>'Supply Side'!K15</f>
        <v>0</v>
      </c>
      <c r="G16" s="1">
        <f>IF('Order Side'!$G15, 'Order Side'!D15,)</f>
        <v>0</v>
      </c>
      <c r="H16" s="35"/>
    </row>
    <row r="17" spans="1:8" x14ac:dyDescent="0.25">
      <c r="A17" s="2">
        <f t="shared" si="1"/>
        <v>15</v>
      </c>
      <c r="B17" s="33">
        <f>Summary!D18</f>
        <v>20</v>
      </c>
      <c r="C17" s="1">
        <f>'Supply Side'!H16</f>
        <v>0</v>
      </c>
      <c r="D17" s="1">
        <f>IF('Order Side'!$G16, 'Supply Side'!I16,)</f>
        <v>20</v>
      </c>
      <c r="E17" s="37">
        <f>'Supply Side'!J16</f>
        <v>0</v>
      </c>
      <c r="F17" s="37">
        <f>'Supply Side'!K16</f>
        <v>0</v>
      </c>
      <c r="G17" s="1">
        <f>IF('Order Side'!$G16, 'Order Side'!D16,)</f>
        <v>0</v>
      </c>
      <c r="H17" s="35"/>
    </row>
    <row r="18" spans="1:8" x14ac:dyDescent="0.25">
      <c r="A18" s="2">
        <f t="shared" si="1"/>
        <v>16</v>
      </c>
      <c r="B18" s="33">
        <f>Summary!D19</f>
        <v>20</v>
      </c>
      <c r="C18" s="1">
        <f>'Supply Side'!H17</f>
        <v>0</v>
      </c>
      <c r="D18" s="1">
        <f>IF('Order Side'!$G17, 'Supply Side'!I17,)</f>
        <v>20</v>
      </c>
      <c r="E18" s="37">
        <f>'Supply Side'!J17</f>
        <v>0</v>
      </c>
      <c r="F18" s="37">
        <f>'Supply Side'!K17</f>
        <v>0</v>
      </c>
      <c r="G18" s="1">
        <f>IF('Order Side'!$G17, 'Order Side'!D17,)</f>
        <v>0</v>
      </c>
      <c r="H18" s="35"/>
    </row>
    <row r="19" spans="1:8" x14ac:dyDescent="0.25">
      <c r="A19" s="2">
        <f t="shared" si="1"/>
        <v>17</v>
      </c>
      <c r="B19" s="33">
        <f>Summary!D20</f>
        <v>20</v>
      </c>
      <c r="C19" s="1">
        <f>'Supply Side'!H18</f>
        <v>0</v>
      </c>
      <c r="D19" s="1">
        <f>IF('Order Side'!$G18, 'Supply Side'!I18,)</f>
        <v>20</v>
      </c>
      <c r="E19" s="37">
        <f>'Supply Side'!J18</f>
        <v>0</v>
      </c>
      <c r="F19" s="37">
        <f>'Supply Side'!K18</f>
        <v>0</v>
      </c>
      <c r="G19" s="1">
        <f>IF('Order Side'!$G18, 'Order Side'!D18,)</f>
        <v>0</v>
      </c>
      <c r="H19" s="35"/>
    </row>
    <row r="20" spans="1:8" x14ac:dyDescent="0.25">
      <c r="A20" s="2">
        <f t="shared" si="1"/>
        <v>18</v>
      </c>
      <c r="B20" s="33">
        <f>Summary!D21</f>
        <v>20</v>
      </c>
      <c r="C20" s="1">
        <f>'Supply Side'!H19</f>
        <v>0</v>
      </c>
      <c r="D20" s="1">
        <f>IF('Order Side'!$G19, 'Supply Side'!I19,)</f>
        <v>20</v>
      </c>
      <c r="E20" s="37">
        <f>'Supply Side'!J19</f>
        <v>0</v>
      </c>
      <c r="F20" s="37">
        <f>'Supply Side'!K19</f>
        <v>0</v>
      </c>
      <c r="G20" s="1">
        <f>IF('Order Side'!$G19, 'Order Side'!D19,)</f>
        <v>0</v>
      </c>
      <c r="H20" s="35"/>
    </row>
    <row r="21" spans="1:8" x14ac:dyDescent="0.25">
      <c r="A21" s="2">
        <f t="shared" si="1"/>
        <v>19</v>
      </c>
      <c r="B21" s="33">
        <f>Summary!D22</f>
        <v>20</v>
      </c>
      <c r="C21" s="1">
        <f>'Supply Side'!H20</f>
        <v>0</v>
      </c>
      <c r="D21" s="1">
        <f>IF('Order Side'!$G20, 'Supply Side'!I20,)</f>
        <v>20</v>
      </c>
      <c r="E21" s="37">
        <f>'Supply Side'!J20</f>
        <v>0</v>
      </c>
      <c r="F21" s="37">
        <f>'Supply Side'!K20</f>
        <v>0</v>
      </c>
      <c r="G21" s="1">
        <f>IF('Order Side'!$G20, 'Order Side'!D20,)</f>
        <v>0</v>
      </c>
      <c r="H21" s="35"/>
    </row>
    <row r="22" spans="1:8" x14ac:dyDescent="0.25">
      <c r="A22" s="2">
        <f t="shared" si="1"/>
        <v>20</v>
      </c>
      <c r="B22" s="33">
        <f>Summary!D23</f>
        <v>20</v>
      </c>
      <c r="C22" s="1">
        <f>'Supply Side'!H21</f>
        <v>0</v>
      </c>
      <c r="D22" s="1">
        <f>IF('Order Side'!$G21, 'Supply Side'!I21,)</f>
        <v>20</v>
      </c>
      <c r="E22" s="37">
        <f>'Supply Side'!J21</f>
        <v>0</v>
      </c>
      <c r="F22" s="37">
        <f>'Supply Side'!K21</f>
        <v>0</v>
      </c>
      <c r="G22" s="1">
        <f>IF('Order Side'!$G21, 'Order Side'!D21,)</f>
        <v>0</v>
      </c>
      <c r="H22" s="35"/>
    </row>
    <row r="23" spans="1:8" x14ac:dyDescent="0.25">
      <c r="A23" s="2">
        <f t="shared" si="1"/>
        <v>21</v>
      </c>
      <c r="B23" s="33">
        <f>Summary!D24</f>
        <v>20</v>
      </c>
      <c r="C23" s="1">
        <f>'Supply Side'!H22</f>
        <v>0</v>
      </c>
      <c r="D23" s="1">
        <f>IF('Order Side'!$G22, 'Supply Side'!I22,)</f>
        <v>20</v>
      </c>
      <c r="E23" s="37">
        <f>'Supply Side'!J22</f>
        <v>0</v>
      </c>
      <c r="F23" s="37">
        <f>'Supply Side'!K22</f>
        <v>0</v>
      </c>
      <c r="G23" s="1">
        <f>IF('Order Side'!$G22, 'Order Side'!D22,)</f>
        <v>0</v>
      </c>
      <c r="H23" s="35"/>
    </row>
    <row r="24" spans="1:8" x14ac:dyDescent="0.25">
      <c r="A24" s="2">
        <f t="shared" si="1"/>
        <v>22</v>
      </c>
      <c r="B24" s="33">
        <f>Summary!D25</f>
        <v>20</v>
      </c>
      <c r="C24" s="1">
        <f>'Supply Side'!H23</f>
        <v>0</v>
      </c>
      <c r="D24" s="1">
        <f>IF('Order Side'!$G23, 'Supply Side'!I23,)</f>
        <v>20</v>
      </c>
      <c r="E24" s="37">
        <f>'Supply Side'!J23</f>
        <v>0</v>
      </c>
      <c r="F24" s="37">
        <f>'Supply Side'!K23</f>
        <v>0</v>
      </c>
      <c r="G24" s="1">
        <f>IF('Order Side'!$G23, 'Order Side'!D23,)</f>
        <v>0</v>
      </c>
      <c r="H24" s="35"/>
    </row>
    <row r="25" spans="1:8" x14ac:dyDescent="0.25">
      <c r="A25" s="2">
        <f t="shared" si="1"/>
        <v>23</v>
      </c>
      <c r="B25" s="33">
        <f>Summary!D26</f>
        <v>20</v>
      </c>
      <c r="C25" s="1">
        <f>'Supply Side'!H24</f>
        <v>0</v>
      </c>
      <c r="D25" s="1">
        <f>IF('Order Side'!$G24, 'Supply Side'!I24,)</f>
        <v>20</v>
      </c>
      <c r="E25" s="37">
        <f>'Supply Side'!J24</f>
        <v>0</v>
      </c>
      <c r="F25" s="37">
        <f>'Supply Side'!K24</f>
        <v>0</v>
      </c>
      <c r="G25" s="1">
        <f>IF('Order Side'!$G24, 'Order Side'!D24,)</f>
        <v>0</v>
      </c>
      <c r="H25" s="35"/>
    </row>
    <row r="26" spans="1:8" x14ac:dyDescent="0.25">
      <c r="A26" s="2">
        <f t="shared" si="1"/>
        <v>24</v>
      </c>
      <c r="B26" s="33">
        <f>Summary!D27</f>
        <v>20</v>
      </c>
      <c r="C26" s="1">
        <f>'Supply Side'!H25</f>
        <v>0</v>
      </c>
      <c r="D26" s="1">
        <f>IF('Order Side'!$G25, 'Supply Side'!I25,)</f>
        <v>20</v>
      </c>
      <c r="E26" s="37">
        <f>'Supply Side'!J25</f>
        <v>0</v>
      </c>
      <c r="F26" s="37">
        <f>'Supply Side'!K25</f>
        <v>0</v>
      </c>
      <c r="G26" s="1">
        <f>IF('Order Side'!$G25, 'Order Side'!D25,)</f>
        <v>0</v>
      </c>
      <c r="H26" s="35"/>
    </row>
    <row r="27" spans="1:8" x14ac:dyDescent="0.25">
      <c r="A27" s="2">
        <f t="shared" si="1"/>
        <v>25</v>
      </c>
      <c r="B27" s="33">
        <f>Summary!D28</f>
        <v>20</v>
      </c>
      <c r="C27" s="1">
        <f>'Supply Side'!H26</f>
        <v>0</v>
      </c>
      <c r="D27" s="1">
        <f>IF('Order Side'!$G26, 'Supply Side'!I26,)</f>
        <v>20</v>
      </c>
      <c r="E27" s="37">
        <f>'Supply Side'!J26</f>
        <v>0</v>
      </c>
      <c r="F27" s="37">
        <f>'Supply Side'!K26</f>
        <v>0</v>
      </c>
      <c r="G27" s="1">
        <f>IF('Order Side'!$G26, 'Order Side'!D26,)</f>
        <v>0</v>
      </c>
      <c r="H27" s="35"/>
    </row>
    <row r="28" spans="1:8" x14ac:dyDescent="0.25">
      <c r="A28" s="2">
        <f t="shared" si="1"/>
        <v>26</v>
      </c>
      <c r="B28" s="33">
        <f>Summary!D29</f>
        <v>20</v>
      </c>
      <c r="C28" s="1">
        <f>'Supply Side'!H27</f>
        <v>0</v>
      </c>
      <c r="D28" s="1">
        <f>IF('Order Side'!$G27, 'Supply Side'!I27,)</f>
        <v>20</v>
      </c>
      <c r="E28" s="37">
        <f>'Supply Side'!J27</f>
        <v>0</v>
      </c>
      <c r="F28" s="37">
        <f>'Supply Side'!K27</f>
        <v>0</v>
      </c>
      <c r="G28" s="1">
        <f>IF('Order Side'!$G27, 'Order Side'!D27,)</f>
        <v>0</v>
      </c>
      <c r="H28" s="35"/>
    </row>
    <row r="29" spans="1:8" x14ac:dyDescent="0.25">
      <c r="A29" s="2">
        <f t="shared" si="1"/>
        <v>27</v>
      </c>
      <c r="B29" s="33">
        <f>Summary!D30</f>
        <v>20</v>
      </c>
      <c r="C29" s="1">
        <f>'Supply Side'!H28</f>
        <v>0</v>
      </c>
      <c r="D29" s="1">
        <f>IF('Order Side'!$G28, 'Supply Side'!I28,)</f>
        <v>20</v>
      </c>
      <c r="E29" s="37">
        <f>'Supply Side'!J28</f>
        <v>0</v>
      </c>
      <c r="F29" s="37">
        <f>'Supply Side'!K28</f>
        <v>0</v>
      </c>
      <c r="G29" s="1">
        <f>IF('Order Side'!$G28, 'Order Side'!D28,)</f>
        <v>0</v>
      </c>
      <c r="H29" s="35"/>
    </row>
    <row r="30" spans="1:8" x14ac:dyDescent="0.25">
      <c r="A30" s="2">
        <f t="shared" si="1"/>
        <v>28</v>
      </c>
      <c r="B30" s="33">
        <f>Summary!D31</f>
        <v>20</v>
      </c>
      <c r="C30" s="1">
        <f>'Supply Side'!H29</f>
        <v>0</v>
      </c>
      <c r="D30" s="1">
        <f>IF('Order Side'!$G29, 'Supply Side'!I29,)</f>
        <v>20</v>
      </c>
      <c r="E30" s="37">
        <f>'Supply Side'!J29</f>
        <v>0</v>
      </c>
      <c r="F30" s="37">
        <f>'Supply Side'!K29</f>
        <v>0</v>
      </c>
      <c r="G30" s="1">
        <f>IF('Order Side'!$G29, 'Order Side'!D29,)</f>
        <v>0</v>
      </c>
      <c r="H30" s="35"/>
    </row>
    <row r="31" spans="1:8" x14ac:dyDescent="0.25">
      <c r="A31" s="2">
        <f t="shared" si="1"/>
        <v>29</v>
      </c>
      <c r="B31" s="33">
        <f>Summary!D32</f>
        <v>20</v>
      </c>
      <c r="C31" s="1">
        <f>'Supply Side'!H30</f>
        <v>0</v>
      </c>
      <c r="D31" s="1">
        <f>IF('Order Side'!$G30, 'Supply Side'!I30,)</f>
        <v>20</v>
      </c>
      <c r="E31" s="37">
        <f>'Supply Side'!J30</f>
        <v>0</v>
      </c>
      <c r="F31" s="37">
        <f>'Supply Side'!K30</f>
        <v>0</v>
      </c>
      <c r="G31" s="1">
        <f>IF('Order Side'!$G30, 'Order Side'!D30,)</f>
        <v>0</v>
      </c>
      <c r="H31" s="35"/>
    </row>
    <row r="32" spans="1:8" x14ac:dyDescent="0.25">
      <c r="A32" s="2">
        <f t="shared" si="1"/>
        <v>30</v>
      </c>
      <c r="B32" s="33">
        <f>Summary!D33</f>
        <v>20</v>
      </c>
      <c r="C32" s="1">
        <f>'Supply Side'!H31</f>
        <v>0</v>
      </c>
      <c r="D32" s="1">
        <f>IF('Order Side'!$G31, 'Supply Side'!I31,)</f>
        <v>20</v>
      </c>
      <c r="E32" s="37">
        <f>'Supply Side'!J31</f>
        <v>0</v>
      </c>
      <c r="F32" s="37">
        <f>'Supply Side'!K31</f>
        <v>0</v>
      </c>
      <c r="G32" s="1">
        <f>IF('Order Side'!$G31, 'Order Side'!D31,)</f>
        <v>0</v>
      </c>
      <c r="H32" s="35"/>
    </row>
    <row r="33" spans="1:8" x14ac:dyDescent="0.25">
      <c r="A33" s="2">
        <f t="shared" si="1"/>
        <v>31</v>
      </c>
      <c r="B33" s="33">
        <f>Summary!D34</f>
        <v>20</v>
      </c>
      <c r="C33" s="1">
        <f>'Supply Side'!H32</f>
        <v>0</v>
      </c>
      <c r="D33" s="1">
        <f>IF('Order Side'!$G32, 'Supply Side'!I32,)</f>
        <v>20</v>
      </c>
      <c r="E33" s="37">
        <f>'Supply Side'!J32</f>
        <v>0</v>
      </c>
      <c r="F33" s="37">
        <f>'Supply Side'!K32</f>
        <v>0</v>
      </c>
      <c r="G33" s="1">
        <f>IF('Order Side'!$G32, 'Order Side'!D32,)</f>
        <v>0</v>
      </c>
      <c r="H33" s="35"/>
    </row>
    <row r="34" spans="1:8" x14ac:dyDescent="0.25">
      <c r="A34" s="2">
        <f t="shared" si="1"/>
        <v>32</v>
      </c>
      <c r="B34" s="33">
        <f>Summary!D35</f>
        <v>20</v>
      </c>
      <c r="C34" s="1">
        <f>'Supply Side'!H33</f>
        <v>0</v>
      </c>
      <c r="D34" s="1">
        <f>IF('Order Side'!$G33, 'Supply Side'!I33,)</f>
        <v>20</v>
      </c>
      <c r="E34" s="37">
        <f>'Supply Side'!J33</f>
        <v>0</v>
      </c>
      <c r="F34" s="37">
        <f>'Supply Side'!K33</f>
        <v>0</v>
      </c>
      <c r="G34" s="1">
        <f>IF('Order Side'!$G33, 'Order Side'!D33,)</f>
        <v>0</v>
      </c>
      <c r="H34" s="35"/>
    </row>
    <row r="35" spans="1:8" x14ac:dyDescent="0.25">
      <c r="A35" s="2">
        <f t="shared" si="1"/>
        <v>33</v>
      </c>
      <c r="B35" s="33">
        <f>Summary!D36</f>
        <v>20</v>
      </c>
      <c r="C35" s="1">
        <f>'Supply Side'!H34</f>
        <v>0</v>
      </c>
      <c r="D35" s="1">
        <f>IF('Order Side'!$G34, 'Supply Side'!I34,)</f>
        <v>20</v>
      </c>
      <c r="E35" s="37">
        <f>'Supply Side'!J34</f>
        <v>0</v>
      </c>
      <c r="F35" s="37">
        <f>'Supply Side'!K34</f>
        <v>0</v>
      </c>
      <c r="G35" s="1">
        <f>IF('Order Side'!$G34, 'Order Side'!D34,)</f>
        <v>0</v>
      </c>
      <c r="H35" s="35"/>
    </row>
    <row r="36" spans="1:8" x14ac:dyDescent="0.25">
      <c r="A36" s="2">
        <f t="shared" si="1"/>
        <v>34</v>
      </c>
      <c r="B36" s="33">
        <f>Summary!D37</f>
        <v>20</v>
      </c>
      <c r="C36" s="1">
        <f>'Supply Side'!H35</f>
        <v>0</v>
      </c>
      <c r="D36" s="1">
        <f>IF('Order Side'!$G35, 'Supply Side'!I35,)</f>
        <v>20</v>
      </c>
      <c r="E36" s="37">
        <f>'Supply Side'!J35</f>
        <v>0</v>
      </c>
      <c r="F36" s="37">
        <f>'Supply Side'!K35</f>
        <v>0</v>
      </c>
      <c r="G36" s="1">
        <f>IF('Order Side'!$G35, 'Order Side'!D35,)</f>
        <v>0</v>
      </c>
      <c r="H36" s="35"/>
    </row>
    <row r="37" spans="1:8" x14ac:dyDescent="0.25">
      <c r="A37" s="2">
        <f t="shared" si="1"/>
        <v>35</v>
      </c>
      <c r="B37" s="33">
        <f>Summary!D38</f>
        <v>20</v>
      </c>
      <c r="C37" s="1">
        <f>'Supply Side'!H36</f>
        <v>0</v>
      </c>
      <c r="D37" s="1">
        <f>IF('Order Side'!$G36, 'Supply Side'!I36,)</f>
        <v>20</v>
      </c>
      <c r="E37" s="37">
        <f>'Supply Side'!J36</f>
        <v>0</v>
      </c>
      <c r="F37" s="37">
        <f>'Supply Side'!K36</f>
        <v>0</v>
      </c>
      <c r="G37" s="1">
        <f>IF('Order Side'!$G36, 'Order Side'!D36,)</f>
        <v>0</v>
      </c>
      <c r="H37" s="35"/>
    </row>
    <row r="38" spans="1:8" x14ac:dyDescent="0.25">
      <c r="A38" s="2">
        <f t="shared" si="1"/>
        <v>36</v>
      </c>
      <c r="B38" s="33">
        <f>Summary!D39</f>
        <v>20</v>
      </c>
      <c r="C38" s="1">
        <f>'Supply Side'!H37</f>
        <v>0</v>
      </c>
      <c r="D38" s="1">
        <f>IF('Order Side'!$G37, 'Supply Side'!I37,)</f>
        <v>20</v>
      </c>
      <c r="E38" s="37">
        <f>'Supply Side'!J37</f>
        <v>0</v>
      </c>
      <c r="F38" s="37">
        <f>'Supply Side'!K37</f>
        <v>0</v>
      </c>
      <c r="G38" s="1">
        <f>IF('Order Side'!$G37, 'Order Side'!D37,)</f>
        <v>0</v>
      </c>
      <c r="H38" s="35"/>
    </row>
    <row r="39" spans="1:8" x14ac:dyDescent="0.25">
      <c r="A39" s="2">
        <f t="shared" si="1"/>
        <v>37</v>
      </c>
      <c r="B39" s="33">
        <f>Summary!D40</f>
        <v>20</v>
      </c>
      <c r="C39" s="1">
        <f>'Supply Side'!H38</f>
        <v>0</v>
      </c>
      <c r="D39" s="1">
        <f>IF('Order Side'!$G38, 'Supply Side'!I38,)</f>
        <v>20</v>
      </c>
      <c r="E39" s="37">
        <f>'Supply Side'!J38</f>
        <v>0</v>
      </c>
      <c r="F39" s="37">
        <f>'Supply Side'!K38</f>
        <v>0</v>
      </c>
      <c r="G39" s="1">
        <f>IF('Order Side'!$G38, 'Order Side'!D38,)</f>
        <v>0</v>
      </c>
      <c r="H39" s="35"/>
    </row>
    <row r="40" spans="1:8" x14ac:dyDescent="0.25">
      <c r="A40" s="2">
        <f t="shared" si="1"/>
        <v>38</v>
      </c>
      <c r="B40" s="33">
        <f>Summary!D41</f>
        <v>20</v>
      </c>
      <c r="C40" s="1">
        <f>'Supply Side'!H39</f>
        <v>0</v>
      </c>
      <c r="D40" s="1">
        <f>IF('Order Side'!$G39, 'Supply Side'!I39,)</f>
        <v>20</v>
      </c>
      <c r="E40" s="37">
        <f>'Supply Side'!J39</f>
        <v>0</v>
      </c>
      <c r="F40" s="37">
        <f>'Supply Side'!K39</f>
        <v>0</v>
      </c>
      <c r="G40" s="1">
        <f>IF('Order Side'!$G39, 'Order Side'!D39,)</f>
        <v>0</v>
      </c>
      <c r="H40" s="35"/>
    </row>
    <row r="41" spans="1:8" x14ac:dyDescent="0.25">
      <c r="A41" s="2">
        <f t="shared" si="1"/>
        <v>39</v>
      </c>
      <c r="B41" s="33">
        <f>Summary!D42</f>
        <v>20</v>
      </c>
      <c r="C41" s="1">
        <f>'Supply Side'!H40</f>
        <v>0</v>
      </c>
      <c r="D41" s="1">
        <f>IF('Order Side'!$G40, 'Supply Side'!I40,)</f>
        <v>20</v>
      </c>
      <c r="E41" s="37">
        <f>'Supply Side'!J40</f>
        <v>0</v>
      </c>
      <c r="F41" s="37">
        <f>'Supply Side'!K40</f>
        <v>0</v>
      </c>
      <c r="G41" s="1">
        <f>IF('Order Side'!$G40, 'Order Side'!D40,)</f>
        <v>0</v>
      </c>
      <c r="H41" s="35"/>
    </row>
    <row r="42" spans="1:8" x14ac:dyDescent="0.25">
      <c r="A42" s="2">
        <f t="shared" si="1"/>
        <v>40</v>
      </c>
      <c r="B42" s="33">
        <f>Summary!D43</f>
        <v>20</v>
      </c>
      <c r="C42" s="1">
        <f>'Supply Side'!H41</f>
        <v>0</v>
      </c>
      <c r="D42" s="1">
        <f>IF('Order Side'!$G41, 'Supply Side'!I41,)</f>
        <v>20</v>
      </c>
      <c r="E42" s="37">
        <f>'Supply Side'!J41</f>
        <v>0</v>
      </c>
      <c r="F42" s="37">
        <f>'Supply Side'!K41</f>
        <v>0</v>
      </c>
      <c r="G42" s="1">
        <f>IF('Order Side'!$G41, 'Order Side'!D41,)</f>
        <v>0</v>
      </c>
      <c r="H42" s="35"/>
    </row>
    <row r="43" spans="1:8" x14ac:dyDescent="0.25">
      <c r="A43" s="2">
        <f t="shared" si="1"/>
        <v>41</v>
      </c>
      <c r="B43" s="33">
        <f>Summary!D44</f>
        <v>20</v>
      </c>
      <c r="C43" s="1">
        <f>'Supply Side'!H42</f>
        <v>0</v>
      </c>
      <c r="D43" s="1">
        <f>IF('Order Side'!$G42, 'Supply Side'!I42,)</f>
        <v>20</v>
      </c>
      <c r="E43" s="37">
        <f>'Supply Side'!J42</f>
        <v>0</v>
      </c>
      <c r="F43" s="37">
        <f>'Supply Side'!K42</f>
        <v>0</v>
      </c>
      <c r="G43" s="1">
        <f>IF('Order Side'!$G42, 'Order Side'!D42,)</f>
        <v>0</v>
      </c>
      <c r="H43" s="35"/>
    </row>
    <row r="44" spans="1:8" x14ac:dyDescent="0.25">
      <c r="A44" s="2">
        <f t="shared" si="1"/>
        <v>42</v>
      </c>
      <c r="B44" s="33">
        <f>Summary!D45</f>
        <v>20</v>
      </c>
      <c r="C44" s="1">
        <f>'Supply Side'!H43</f>
        <v>0</v>
      </c>
      <c r="D44" s="1">
        <f>IF('Order Side'!$G43, 'Supply Side'!I43,)</f>
        <v>20</v>
      </c>
      <c r="E44" s="37">
        <f>'Supply Side'!J43</f>
        <v>0</v>
      </c>
      <c r="F44" s="37">
        <f>'Supply Side'!K43</f>
        <v>0</v>
      </c>
      <c r="G44" s="1">
        <f>IF('Order Side'!$G43, 'Order Side'!D43,)</f>
        <v>0</v>
      </c>
      <c r="H44" s="35"/>
    </row>
    <row r="45" spans="1:8" x14ac:dyDescent="0.25">
      <c r="A45" s="2">
        <f t="shared" si="1"/>
        <v>43</v>
      </c>
      <c r="B45" s="33">
        <f>Summary!D46</f>
        <v>20</v>
      </c>
      <c r="C45" s="1">
        <f>'Supply Side'!H44</f>
        <v>0</v>
      </c>
      <c r="D45" s="1">
        <f>IF('Order Side'!$G44, 'Supply Side'!I44,)</f>
        <v>20</v>
      </c>
      <c r="E45" s="37">
        <f>'Supply Side'!J44</f>
        <v>0</v>
      </c>
      <c r="F45" s="37">
        <f>'Supply Side'!K44</f>
        <v>0</v>
      </c>
      <c r="G45" s="1">
        <f>IF('Order Side'!$G44, 'Order Side'!D44,)</f>
        <v>0</v>
      </c>
      <c r="H45" s="35"/>
    </row>
    <row r="46" spans="1:8" x14ac:dyDescent="0.25">
      <c r="A46" s="2">
        <f t="shared" si="1"/>
        <v>44</v>
      </c>
      <c r="B46" s="33">
        <f>Summary!D47</f>
        <v>20</v>
      </c>
      <c r="C46" s="1">
        <f>'Supply Side'!H45</f>
        <v>0</v>
      </c>
      <c r="D46" s="1">
        <f>IF('Order Side'!$G45, 'Supply Side'!I45,)</f>
        <v>20</v>
      </c>
      <c r="E46" s="37">
        <f>'Supply Side'!J45</f>
        <v>0</v>
      </c>
      <c r="F46" s="37">
        <f>'Supply Side'!K45</f>
        <v>0</v>
      </c>
      <c r="G46" s="1">
        <f>IF('Order Side'!$G45, 'Order Side'!D45,)</f>
        <v>0</v>
      </c>
      <c r="H46" s="35"/>
    </row>
    <row r="47" spans="1:8" x14ac:dyDescent="0.25">
      <c r="A47" s="2">
        <f t="shared" si="1"/>
        <v>45</v>
      </c>
      <c r="B47" s="33">
        <f>Summary!D48</f>
        <v>20</v>
      </c>
      <c r="C47" s="1">
        <f>'Supply Side'!H46</f>
        <v>0</v>
      </c>
      <c r="D47" s="1">
        <f>IF('Order Side'!$G46, 'Supply Side'!I46,)</f>
        <v>20</v>
      </c>
      <c r="E47" s="37">
        <f>'Supply Side'!J46</f>
        <v>0</v>
      </c>
      <c r="F47" s="37">
        <f>'Supply Side'!K46</f>
        <v>0</v>
      </c>
      <c r="G47" s="1">
        <f>IF('Order Side'!$G46, 'Order Side'!D46,)</f>
        <v>0</v>
      </c>
      <c r="H47" s="35"/>
    </row>
    <row r="48" spans="1:8" x14ac:dyDescent="0.25">
      <c r="A48" s="2">
        <f t="shared" si="1"/>
        <v>46</v>
      </c>
      <c r="B48" s="33">
        <f>Summary!D49</f>
        <v>20</v>
      </c>
      <c r="C48" s="1">
        <f>'Supply Side'!H47</f>
        <v>0</v>
      </c>
      <c r="D48" s="1">
        <f>IF('Order Side'!$G47, 'Supply Side'!I47,)</f>
        <v>20</v>
      </c>
      <c r="E48" s="37">
        <f>'Supply Side'!J47</f>
        <v>0</v>
      </c>
      <c r="F48" s="37">
        <f>'Supply Side'!K47</f>
        <v>0</v>
      </c>
      <c r="G48" s="1">
        <f>IF('Order Side'!$G47, 'Order Side'!D47,)</f>
        <v>0</v>
      </c>
      <c r="H48" s="35"/>
    </row>
    <row r="49" spans="1:8" x14ac:dyDescent="0.25">
      <c r="A49" s="2">
        <f t="shared" si="1"/>
        <v>47</v>
      </c>
      <c r="B49" s="33">
        <f>Summary!D50</f>
        <v>20</v>
      </c>
      <c r="C49" s="1">
        <f>'Supply Side'!H48</f>
        <v>0</v>
      </c>
      <c r="D49" s="1">
        <f>IF('Order Side'!$G48, 'Supply Side'!I48,)</f>
        <v>20</v>
      </c>
      <c r="E49" s="37">
        <f>'Supply Side'!J48</f>
        <v>0</v>
      </c>
      <c r="F49" s="37">
        <f>'Supply Side'!K48</f>
        <v>0</v>
      </c>
      <c r="G49" s="1">
        <f>IF('Order Side'!$G48, 'Order Side'!D48,)</f>
        <v>0</v>
      </c>
      <c r="H49" s="35"/>
    </row>
    <row r="50" spans="1:8" x14ac:dyDescent="0.25">
      <c r="A50" s="2">
        <f t="shared" si="1"/>
        <v>48</v>
      </c>
      <c r="B50" s="33">
        <f>Summary!D51</f>
        <v>20</v>
      </c>
      <c r="C50" s="1">
        <f>'Supply Side'!H49</f>
        <v>0</v>
      </c>
      <c r="D50" s="1">
        <f>IF('Order Side'!$G49, 'Supply Side'!I49,)</f>
        <v>20</v>
      </c>
      <c r="E50" s="37">
        <f>'Supply Side'!J49</f>
        <v>0</v>
      </c>
      <c r="F50" s="37">
        <f>'Supply Side'!K49</f>
        <v>0</v>
      </c>
      <c r="G50" s="1">
        <f>IF('Order Side'!$G49, 'Order Side'!D49,)</f>
        <v>0</v>
      </c>
      <c r="H50" s="35"/>
    </row>
    <row r="51" spans="1:8" x14ac:dyDescent="0.25">
      <c r="A51" s="2">
        <f t="shared" si="1"/>
        <v>49</v>
      </c>
      <c r="B51" s="33">
        <f>Summary!D52</f>
        <v>20</v>
      </c>
      <c r="C51" s="1">
        <f>'Supply Side'!H50</f>
        <v>0</v>
      </c>
      <c r="D51" s="1">
        <f>IF('Order Side'!$G50, 'Supply Side'!I50,)</f>
        <v>20</v>
      </c>
      <c r="E51" s="37">
        <f>'Supply Side'!J50</f>
        <v>0</v>
      </c>
      <c r="F51" s="37">
        <f>'Supply Side'!K50</f>
        <v>0</v>
      </c>
      <c r="G51" s="1">
        <f>IF('Order Side'!$G50, 'Order Side'!D50,)</f>
        <v>0</v>
      </c>
      <c r="H51" s="35"/>
    </row>
    <row r="52" spans="1:8" x14ac:dyDescent="0.25">
      <c r="A52" s="2">
        <f t="shared" si="1"/>
        <v>50</v>
      </c>
      <c r="B52" s="33">
        <f>Summary!D53</f>
        <v>20</v>
      </c>
      <c r="C52" s="1">
        <f>'Supply Side'!H51</f>
        <v>0</v>
      </c>
      <c r="D52" s="1">
        <f>IF('Order Side'!$G51, 'Supply Side'!I51,)</f>
        <v>20</v>
      </c>
      <c r="E52" s="37">
        <f>'Supply Side'!J51</f>
        <v>0</v>
      </c>
      <c r="F52" s="37">
        <f>'Supply Side'!K51</f>
        <v>0</v>
      </c>
      <c r="G52" s="1">
        <f>IF('Order Side'!$G51, 'Order Side'!D51,)</f>
        <v>0</v>
      </c>
      <c r="H52" s="35"/>
    </row>
  </sheetData>
  <conditionalFormatting sqref="C2:C52">
    <cfRule type="expression" dxfId="11" priority="4">
      <formula>$G2&lt;=C2</formula>
    </cfRule>
  </conditionalFormatting>
  <conditionalFormatting sqref="D1:D52">
    <cfRule type="cellIs" dxfId="10" priority="2" operator="lessThanOrEqual">
      <formula>0</formula>
    </cfRule>
  </conditionalFormatting>
  <conditionalFormatting sqref="E1:F52 C2:C52">
    <cfRule type="cellIs" dxfId="9" priority="3" operator="equal">
      <formula>0</formula>
    </cfRule>
  </conditionalFormatting>
  <conditionalFormatting sqref="H2:H52">
    <cfRule type="expression" dxfId="8" priority="1">
      <formula>$A2=$A$1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5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25"/>
  <cols>
    <col min="2" max="3" width="8.21875" customWidth="1"/>
    <col min="4" max="4" width="17" customWidth="1"/>
    <col min="5" max="5" width="8.77734375" customWidth="1"/>
    <col min="6" max="6" width="9.88671875" customWidth="1"/>
    <col min="7" max="7" width="20.109375" customWidth="1"/>
    <col min="8" max="8" width="17.77734375" customWidth="1"/>
  </cols>
  <sheetData>
    <row r="1" spans="1:8" x14ac:dyDescent="0.25">
      <c r="A1" s="2">
        <f ca="1">Summary!$A$1</f>
        <v>1</v>
      </c>
      <c r="B1" s="26">
        <f>SUM(B3:B52)</f>
        <v>990</v>
      </c>
      <c r="C1" s="34">
        <f t="shared" ref="C1:D1" si="0">AVERAGE(C3:C52)</f>
        <v>0.1</v>
      </c>
      <c r="D1" s="34">
        <f t="shared" si="0"/>
        <v>19.8</v>
      </c>
      <c r="E1" s="34" t="s">
        <v>28</v>
      </c>
      <c r="F1" s="34"/>
      <c r="G1" s="34">
        <f>AVERAGE(G3:G52)</f>
        <v>0.1</v>
      </c>
      <c r="H1" s="34">
        <f>IFERROR(AVERAGE(H3:H52), )</f>
        <v>0</v>
      </c>
    </row>
    <row r="2" spans="1:8" x14ac:dyDescent="0.25">
      <c r="A2" s="2" t="s">
        <v>3</v>
      </c>
      <c r="B2" s="2" t="s">
        <v>29</v>
      </c>
      <c r="C2" s="2" t="s">
        <v>30</v>
      </c>
      <c r="D2" s="2" t="s">
        <v>31</v>
      </c>
      <c r="E2" s="36" t="s">
        <v>32</v>
      </c>
      <c r="F2" s="36" t="s">
        <v>33</v>
      </c>
      <c r="G2" s="2" t="s">
        <v>34</v>
      </c>
      <c r="H2" s="2" t="s">
        <v>35</v>
      </c>
    </row>
    <row r="3" spans="1:8" x14ac:dyDescent="0.25">
      <c r="A3" s="2">
        <v>1</v>
      </c>
      <c r="B3" s="33">
        <f>Summary!C4</f>
        <v>15</v>
      </c>
      <c r="C3" s="1">
        <f>'Supply Side'!E2</f>
        <v>5</v>
      </c>
      <c r="D3" s="1">
        <f>IF('Order Side'!$G2, 'Supply Side'!F2,)</f>
        <v>15</v>
      </c>
      <c r="E3" s="37">
        <f>'Supply Side'!G2</f>
        <v>0</v>
      </c>
      <c r="F3" s="37">
        <f>'Supply Side'!H2</f>
        <v>5</v>
      </c>
      <c r="G3" s="1">
        <f>IF('Order Side'!$G2, 'Order Side'!C2,)</f>
        <v>5</v>
      </c>
      <c r="H3" s="35"/>
    </row>
    <row r="4" spans="1:8" x14ac:dyDescent="0.25">
      <c r="A4" s="2">
        <f t="shared" ref="A4:A52" si="1">A3+1</f>
        <v>2</v>
      </c>
      <c r="B4" s="33">
        <f>Summary!C5</f>
        <v>15</v>
      </c>
      <c r="C4" s="1">
        <f>'Supply Side'!E3</f>
        <v>0</v>
      </c>
      <c r="D4" s="1">
        <f>IF('Order Side'!$G3, 'Supply Side'!F3,)</f>
        <v>15</v>
      </c>
      <c r="E4" s="37">
        <f>'Supply Side'!G3</f>
        <v>5</v>
      </c>
      <c r="F4" s="37">
        <f>'Supply Side'!H3</f>
        <v>0</v>
      </c>
      <c r="G4" s="1">
        <f>IF('Order Side'!$G3, 'Order Side'!C3,)</f>
        <v>0</v>
      </c>
      <c r="H4" s="35"/>
    </row>
    <row r="5" spans="1:8" x14ac:dyDescent="0.25">
      <c r="A5" s="2">
        <f t="shared" si="1"/>
        <v>3</v>
      </c>
      <c r="B5" s="33">
        <f>Summary!C6</f>
        <v>20</v>
      </c>
      <c r="C5" s="1">
        <f>'Supply Side'!E4</f>
        <v>0</v>
      </c>
      <c r="D5" s="1">
        <f>IF('Order Side'!$G4, 'Supply Side'!F4,)</f>
        <v>20</v>
      </c>
      <c r="E5" s="37">
        <f>'Supply Side'!G4</f>
        <v>0</v>
      </c>
      <c r="F5" s="37">
        <f>'Supply Side'!H4</f>
        <v>0</v>
      </c>
      <c r="G5" s="1">
        <f>IF('Order Side'!$G4, 'Order Side'!C4,)</f>
        <v>0</v>
      </c>
      <c r="H5" s="35"/>
    </row>
    <row r="6" spans="1:8" x14ac:dyDescent="0.25">
      <c r="A6" s="2">
        <f t="shared" si="1"/>
        <v>4</v>
      </c>
      <c r="B6" s="33">
        <f>Summary!C7</f>
        <v>20</v>
      </c>
      <c r="C6" s="1">
        <f>'Supply Side'!E5</f>
        <v>0</v>
      </c>
      <c r="D6" s="1">
        <f>IF('Order Side'!$G5, 'Supply Side'!F5,)</f>
        <v>20</v>
      </c>
      <c r="E6" s="37">
        <f>'Supply Side'!G5</f>
        <v>0</v>
      </c>
      <c r="F6" s="37">
        <f>'Supply Side'!H5</f>
        <v>0</v>
      </c>
      <c r="G6" s="1">
        <f>IF('Order Side'!$G5, 'Order Side'!C5,)</f>
        <v>0</v>
      </c>
      <c r="H6" s="35"/>
    </row>
    <row r="7" spans="1:8" x14ac:dyDescent="0.25">
      <c r="A7" s="2">
        <f t="shared" si="1"/>
        <v>5</v>
      </c>
      <c r="B7" s="33">
        <f>Summary!C8</f>
        <v>20</v>
      </c>
      <c r="C7" s="1">
        <f>'Supply Side'!E6</f>
        <v>0</v>
      </c>
      <c r="D7" s="1">
        <f>IF('Order Side'!$G6, 'Supply Side'!F6,)</f>
        <v>20</v>
      </c>
      <c r="E7" s="37">
        <f>'Supply Side'!G6</f>
        <v>0</v>
      </c>
      <c r="F7" s="37">
        <f>'Supply Side'!H6</f>
        <v>0</v>
      </c>
      <c r="G7" s="1">
        <f>IF('Order Side'!$G6, 'Order Side'!C6,)</f>
        <v>0</v>
      </c>
      <c r="H7" s="35"/>
    </row>
    <row r="8" spans="1:8" x14ac:dyDescent="0.25">
      <c r="A8" s="2">
        <f t="shared" si="1"/>
        <v>6</v>
      </c>
      <c r="B8" s="33">
        <f>Summary!C9</f>
        <v>20</v>
      </c>
      <c r="C8" s="1">
        <f>'Supply Side'!E7</f>
        <v>0</v>
      </c>
      <c r="D8" s="1">
        <f>IF('Order Side'!$G7, 'Supply Side'!F7,)</f>
        <v>20</v>
      </c>
      <c r="E8" s="37">
        <f>'Supply Side'!G7</f>
        <v>0</v>
      </c>
      <c r="F8" s="37">
        <f>'Supply Side'!H7</f>
        <v>0</v>
      </c>
      <c r="G8" s="1">
        <f>IF('Order Side'!$G7, 'Order Side'!C7,)</f>
        <v>0</v>
      </c>
      <c r="H8" s="35"/>
    </row>
    <row r="9" spans="1:8" x14ac:dyDescent="0.25">
      <c r="A9" s="2">
        <f t="shared" si="1"/>
        <v>7</v>
      </c>
      <c r="B9" s="33">
        <f>Summary!C10</f>
        <v>20</v>
      </c>
      <c r="C9" s="1">
        <f>'Supply Side'!E8</f>
        <v>0</v>
      </c>
      <c r="D9" s="1">
        <f>IF('Order Side'!$G8, 'Supply Side'!F8,)</f>
        <v>20</v>
      </c>
      <c r="E9" s="37">
        <f>'Supply Side'!G8</f>
        <v>0</v>
      </c>
      <c r="F9" s="37">
        <f>'Supply Side'!H8</f>
        <v>0</v>
      </c>
      <c r="G9" s="1">
        <f>IF('Order Side'!$G8, 'Order Side'!C8,)</f>
        <v>0</v>
      </c>
      <c r="H9" s="35"/>
    </row>
    <row r="10" spans="1:8" x14ac:dyDescent="0.25">
      <c r="A10" s="2">
        <f t="shared" si="1"/>
        <v>8</v>
      </c>
      <c r="B10" s="33">
        <f>Summary!C11</f>
        <v>20</v>
      </c>
      <c r="C10" s="1">
        <f>'Supply Side'!E9</f>
        <v>0</v>
      </c>
      <c r="D10" s="1">
        <f>IF('Order Side'!$G9, 'Supply Side'!F9,)</f>
        <v>20</v>
      </c>
      <c r="E10" s="37">
        <f>'Supply Side'!G9</f>
        <v>0</v>
      </c>
      <c r="F10" s="37">
        <f>'Supply Side'!H9</f>
        <v>0</v>
      </c>
      <c r="G10" s="1">
        <f>IF('Order Side'!$G9, 'Order Side'!C9,)</f>
        <v>0</v>
      </c>
      <c r="H10" s="35"/>
    </row>
    <row r="11" spans="1:8" x14ac:dyDescent="0.25">
      <c r="A11" s="2">
        <f t="shared" si="1"/>
        <v>9</v>
      </c>
      <c r="B11" s="33">
        <f>Summary!C12</f>
        <v>20</v>
      </c>
      <c r="C11" s="1">
        <f>'Supply Side'!E10</f>
        <v>0</v>
      </c>
      <c r="D11" s="1">
        <f>IF('Order Side'!$G10, 'Supply Side'!F10,)</f>
        <v>20</v>
      </c>
      <c r="E11" s="37">
        <f>'Supply Side'!G10</f>
        <v>0</v>
      </c>
      <c r="F11" s="37">
        <f>'Supply Side'!H10</f>
        <v>0</v>
      </c>
      <c r="G11" s="1">
        <f>IF('Order Side'!$G10, 'Order Side'!C10,)</f>
        <v>0</v>
      </c>
      <c r="H11" s="35"/>
    </row>
    <row r="12" spans="1:8" x14ac:dyDescent="0.25">
      <c r="A12" s="2">
        <f t="shared" si="1"/>
        <v>10</v>
      </c>
      <c r="B12" s="33">
        <f>Summary!C13</f>
        <v>20</v>
      </c>
      <c r="C12" s="1">
        <f>'Supply Side'!E11</f>
        <v>0</v>
      </c>
      <c r="D12" s="1">
        <f>IF('Order Side'!$G11, 'Supply Side'!F11,)</f>
        <v>20</v>
      </c>
      <c r="E12" s="37">
        <f>'Supply Side'!G11</f>
        <v>0</v>
      </c>
      <c r="F12" s="37">
        <f>'Supply Side'!H11</f>
        <v>0</v>
      </c>
      <c r="G12" s="1">
        <f>IF('Order Side'!$G11, 'Order Side'!C11,)</f>
        <v>0</v>
      </c>
      <c r="H12" s="35"/>
    </row>
    <row r="13" spans="1:8" x14ac:dyDescent="0.25">
      <c r="A13" s="2">
        <f t="shared" si="1"/>
        <v>11</v>
      </c>
      <c r="B13" s="33">
        <f>Summary!C14</f>
        <v>20</v>
      </c>
      <c r="C13" s="1">
        <f>'Supply Side'!E12</f>
        <v>0</v>
      </c>
      <c r="D13" s="1">
        <f>IF('Order Side'!$G12, 'Supply Side'!F12,)</f>
        <v>20</v>
      </c>
      <c r="E13" s="37">
        <f>'Supply Side'!G12</f>
        <v>0</v>
      </c>
      <c r="F13" s="37">
        <f>'Supply Side'!H12</f>
        <v>0</v>
      </c>
      <c r="G13" s="1">
        <f>IF('Order Side'!$G12, 'Order Side'!C12,)</f>
        <v>0</v>
      </c>
      <c r="H13" s="35"/>
    </row>
    <row r="14" spans="1:8" x14ac:dyDescent="0.25">
      <c r="A14" s="2">
        <f t="shared" si="1"/>
        <v>12</v>
      </c>
      <c r="B14" s="33">
        <f>Summary!C15</f>
        <v>20</v>
      </c>
      <c r="C14" s="1">
        <f>'Supply Side'!E13</f>
        <v>0</v>
      </c>
      <c r="D14" s="1">
        <f>IF('Order Side'!$G13, 'Supply Side'!F13,)</f>
        <v>20</v>
      </c>
      <c r="E14" s="37">
        <f>'Supply Side'!G13</f>
        <v>0</v>
      </c>
      <c r="F14" s="37">
        <f>'Supply Side'!H13</f>
        <v>0</v>
      </c>
      <c r="G14" s="1">
        <f>IF('Order Side'!$G13, 'Order Side'!C13,)</f>
        <v>0</v>
      </c>
      <c r="H14" s="35"/>
    </row>
    <row r="15" spans="1:8" x14ac:dyDescent="0.25">
      <c r="A15" s="2">
        <f t="shared" si="1"/>
        <v>13</v>
      </c>
      <c r="B15" s="33">
        <f>Summary!C16</f>
        <v>20</v>
      </c>
      <c r="C15" s="1">
        <f>'Supply Side'!E14</f>
        <v>0</v>
      </c>
      <c r="D15" s="1">
        <f>IF('Order Side'!$G14, 'Supply Side'!F14,)</f>
        <v>20</v>
      </c>
      <c r="E15" s="37">
        <f>'Supply Side'!G14</f>
        <v>0</v>
      </c>
      <c r="F15" s="37">
        <f>'Supply Side'!H14</f>
        <v>0</v>
      </c>
      <c r="G15" s="1">
        <f>IF('Order Side'!$G14, 'Order Side'!C14,)</f>
        <v>0</v>
      </c>
      <c r="H15" s="35"/>
    </row>
    <row r="16" spans="1:8" x14ac:dyDescent="0.25">
      <c r="A16" s="2">
        <f t="shared" si="1"/>
        <v>14</v>
      </c>
      <c r="B16" s="33">
        <f>Summary!C17</f>
        <v>20</v>
      </c>
      <c r="C16" s="1">
        <f>'Supply Side'!E15</f>
        <v>0</v>
      </c>
      <c r="D16" s="1">
        <f>IF('Order Side'!$G15, 'Supply Side'!F15,)</f>
        <v>20</v>
      </c>
      <c r="E16" s="37">
        <f>'Supply Side'!G15</f>
        <v>0</v>
      </c>
      <c r="F16" s="37">
        <f>'Supply Side'!H15</f>
        <v>0</v>
      </c>
      <c r="G16" s="1">
        <f>IF('Order Side'!$G15, 'Order Side'!C15,)</f>
        <v>0</v>
      </c>
      <c r="H16" s="35"/>
    </row>
    <row r="17" spans="1:8" x14ac:dyDescent="0.25">
      <c r="A17" s="2">
        <f t="shared" si="1"/>
        <v>15</v>
      </c>
      <c r="B17" s="33">
        <f>Summary!C18</f>
        <v>20</v>
      </c>
      <c r="C17" s="1">
        <f>'Supply Side'!E16</f>
        <v>0</v>
      </c>
      <c r="D17" s="1">
        <f>IF('Order Side'!$G16, 'Supply Side'!F16,)</f>
        <v>20</v>
      </c>
      <c r="E17" s="37">
        <f>'Supply Side'!G16</f>
        <v>0</v>
      </c>
      <c r="F17" s="37">
        <f>'Supply Side'!H16</f>
        <v>0</v>
      </c>
      <c r="G17" s="1">
        <f>IF('Order Side'!$G16, 'Order Side'!C16,)</f>
        <v>0</v>
      </c>
      <c r="H17" s="35"/>
    </row>
    <row r="18" spans="1:8" x14ac:dyDescent="0.25">
      <c r="A18" s="2">
        <f t="shared" si="1"/>
        <v>16</v>
      </c>
      <c r="B18" s="33">
        <f>Summary!C19</f>
        <v>20</v>
      </c>
      <c r="C18" s="1">
        <f>'Supply Side'!E17</f>
        <v>0</v>
      </c>
      <c r="D18" s="1">
        <f>IF('Order Side'!$G17, 'Supply Side'!F17,)</f>
        <v>20</v>
      </c>
      <c r="E18" s="37">
        <f>'Supply Side'!G17</f>
        <v>0</v>
      </c>
      <c r="F18" s="37">
        <f>'Supply Side'!H17</f>
        <v>0</v>
      </c>
      <c r="G18" s="1">
        <f>IF('Order Side'!$G17, 'Order Side'!C17,)</f>
        <v>0</v>
      </c>
      <c r="H18" s="35"/>
    </row>
    <row r="19" spans="1:8" x14ac:dyDescent="0.25">
      <c r="A19" s="2">
        <f t="shared" si="1"/>
        <v>17</v>
      </c>
      <c r="B19" s="33">
        <f>Summary!C20</f>
        <v>20</v>
      </c>
      <c r="C19" s="1">
        <f>'Supply Side'!E18</f>
        <v>0</v>
      </c>
      <c r="D19" s="1">
        <f>IF('Order Side'!$G18, 'Supply Side'!F18,)</f>
        <v>20</v>
      </c>
      <c r="E19" s="37">
        <f>'Supply Side'!G18</f>
        <v>0</v>
      </c>
      <c r="F19" s="37">
        <f>'Supply Side'!H18</f>
        <v>0</v>
      </c>
      <c r="G19" s="1">
        <f>IF('Order Side'!$G18, 'Order Side'!C18,)</f>
        <v>0</v>
      </c>
      <c r="H19" s="35"/>
    </row>
    <row r="20" spans="1:8" x14ac:dyDescent="0.25">
      <c r="A20" s="2">
        <f t="shared" si="1"/>
        <v>18</v>
      </c>
      <c r="B20" s="33">
        <f>Summary!C21</f>
        <v>20</v>
      </c>
      <c r="C20" s="1">
        <f>'Supply Side'!E19</f>
        <v>0</v>
      </c>
      <c r="D20" s="1">
        <f>IF('Order Side'!$G19, 'Supply Side'!F19,)</f>
        <v>20</v>
      </c>
      <c r="E20" s="37">
        <f>'Supply Side'!G19</f>
        <v>0</v>
      </c>
      <c r="F20" s="37">
        <f>'Supply Side'!H19</f>
        <v>0</v>
      </c>
      <c r="G20" s="1">
        <f>IF('Order Side'!$G19, 'Order Side'!C19,)</f>
        <v>0</v>
      </c>
      <c r="H20" s="35"/>
    </row>
    <row r="21" spans="1:8" x14ac:dyDescent="0.25">
      <c r="A21" s="2">
        <f t="shared" si="1"/>
        <v>19</v>
      </c>
      <c r="B21" s="33">
        <f>Summary!C22</f>
        <v>20</v>
      </c>
      <c r="C21" s="1">
        <f>'Supply Side'!E20</f>
        <v>0</v>
      </c>
      <c r="D21" s="1">
        <f>IF('Order Side'!$G20, 'Supply Side'!F20,)</f>
        <v>20</v>
      </c>
      <c r="E21" s="37">
        <f>'Supply Side'!G20</f>
        <v>0</v>
      </c>
      <c r="F21" s="37">
        <f>'Supply Side'!H20</f>
        <v>0</v>
      </c>
      <c r="G21" s="1">
        <f>IF('Order Side'!$G20, 'Order Side'!C20,)</f>
        <v>0</v>
      </c>
      <c r="H21" s="35"/>
    </row>
    <row r="22" spans="1:8" x14ac:dyDescent="0.25">
      <c r="A22" s="2">
        <f t="shared" si="1"/>
        <v>20</v>
      </c>
      <c r="B22" s="33">
        <f>Summary!C23</f>
        <v>20</v>
      </c>
      <c r="C22" s="1">
        <f>'Supply Side'!E21</f>
        <v>0</v>
      </c>
      <c r="D22" s="1">
        <f>IF('Order Side'!$G21, 'Supply Side'!F21,)</f>
        <v>20</v>
      </c>
      <c r="E22" s="37">
        <f>'Supply Side'!G21</f>
        <v>0</v>
      </c>
      <c r="F22" s="37">
        <f>'Supply Side'!H21</f>
        <v>0</v>
      </c>
      <c r="G22" s="1">
        <f>IF('Order Side'!$G21, 'Order Side'!C21,)</f>
        <v>0</v>
      </c>
      <c r="H22" s="35"/>
    </row>
    <row r="23" spans="1:8" x14ac:dyDescent="0.25">
      <c r="A23" s="2">
        <f t="shared" si="1"/>
        <v>21</v>
      </c>
      <c r="B23" s="33">
        <f>Summary!C24</f>
        <v>20</v>
      </c>
      <c r="C23" s="1">
        <f>'Supply Side'!E22</f>
        <v>0</v>
      </c>
      <c r="D23" s="1">
        <f>IF('Order Side'!$G22, 'Supply Side'!F22,)</f>
        <v>20</v>
      </c>
      <c r="E23" s="37">
        <f>'Supply Side'!G22</f>
        <v>0</v>
      </c>
      <c r="F23" s="37">
        <f>'Supply Side'!H22</f>
        <v>0</v>
      </c>
      <c r="G23" s="1">
        <f>IF('Order Side'!$G22, 'Order Side'!C22,)</f>
        <v>0</v>
      </c>
      <c r="H23" s="35"/>
    </row>
    <row r="24" spans="1:8" x14ac:dyDescent="0.25">
      <c r="A24" s="2">
        <f t="shared" si="1"/>
        <v>22</v>
      </c>
      <c r="B24" s="33">
        <f>Summary!C25</f>
        <v>20</v>
      </c>
      <c r="C24" s="1">
        <f>'Supply Side'!E23</f>
        <v>0</v>
      </c>
      <c r="D24" s="1">
        <f>IF('Order Side'!$G23, 'Supply Side'!F23,)</f>
        <v>20</v>
      </c>
      <c r="E24" s="37">
        <f>'Supply Side'!G23</f>
        <v>0</v>
      </c>
      <c r="F24" s="37">
        <f>'Supply Side'!H23</f>
        <v>0</v>
      </c>
      <c r="G24" s="1">
        <f>IF('Order Side'!$G23, 'Order Side'!C23,)</f>
        <v>0</v>
      </c>
      <c r="H24" s="35"/>
    </row>
    <row r="25" spans="1:8" x14ac:dyDescent="0.25">
      <c r="A25" s="2">
        <f t="shared" si="1"/>
        <v>23</v>
      </c>
      <c r="B25" s="33">
        <f>Summary!C26</f>
        <v>20</v>
      </c>
      <c r="C25" s="1">
        <f>'Supply Side'!E24</f>
        <v>0</v>
      </c>
      <c r="D25" s="1">
        <f>IF('Order Side'!$G24, 'Supply Side'!F24,)</f>
        <v>20</v>
      </c>
      <c r="E25" s="37">
        <f>'Supply Side'!G24</f>
        <v>0</v>
      </c>
      <c r="F25" s="37">
        <f>'Supply Side'!H24</f>
        <v>0</v>
      </c>
      <c r="G25" s="1">
        <f>IF('Order Side'!$G24, 'Order Side'!C24,)</f>
        <v>0</v>
      </c>
      <c r="H25" s="35"/>
    </row>
    <row r="26" spans="1:8" x14ac:dyDescent="0.25">
      <c r="A26" s="2">
        <f t="shared" si="1"/>
        <v>24</v>
      </c>
      <c r="B26" s="33">
        <f>Summary!C27</f>
        <v>20</v>
      </c>
      <c r="C26" s="1">
        <f>'Supply Side'!E25</f>
        <v>0</v>
      </c>
      <c r="D26" s="1">
        <f>IF('Order Side'!$G25, 'Supply Side'!F25,)</f>
        <v>20</v>
      </c>
      <c r="E26" s="37">
        <f>'Supply Side'!G25</f>
        <v>0</v>
      </c>
      <c r="F26" s="37">
        <f>'Supply Side'!H25</f>
        <v>0</v>
      </c>
      <c r="G26" s="1">
        <f>IF('Order Side'!$G25, 'Order Side'!C25,)</f>
        <v>0</v>
      </c>
      <c r="H26" s="35"/>
    </row>
    <row r="27" spans="1:8" x14ac:dyDescent="0.25">
      <c r="A27" s="2">
        <f t="shared" si="1"/>
        <v>25</v>
      </c>
      <c r="B27" s="33">
        <f>Summary!C28</f>
        <v>20</v>
      </c>
      <c r="C27" s="1">
        <f>'Supply Side'!E26</f>
        <v>0</v>
      </c>
      <c r="D27" s="1">
        <f>IF('Order Side'!$G26, 'Supply Side'!F26,)</f>
        <v>20</v>
      </c>
      <c r="E27" s="37">
        <f>'Supply Side'!G26</f>
        <v>0</v>
      </c>
      <c r="F27" s="37">
        <f>'Supply Side'!H26</f>
        <v>0</v>
      </c>
      <c r="G27" s="1">
        <f>IF('Order Side'!$G26, 'Order Side'!C26,)</f>
        <v>0</v>
      </c>
      <c r="H27" s="35"/>
    </row>
    <row r="28" spans="1:8" x14ac:dyDescent="0.25">
      <c r="A28" s="2">
        <f t="shared" si="1"/>
        <v>26</v>
      </c>
      <c r="B28" s="33">
        <f>Summary!C29</f>
        <v>20</v>
      </c>
      <c r="C28" s="1">
        <f>'Supply Side'!E27</f>
        <v>0</v>
      </c>
      <c r="D28" s="1">
        <f>IF('Order Side'!$G27, 'Supply Side'!F27,)</f>
        <v>20</v>
      </c>
      <c r="E28" s="37">
        <f>'Supply Side'!G27</f>
        <v>0</v>
      </c>
      <c r="F28" s="37">
        <f>'Supply Side'!H27</f>
        <v>0</v>
      </c>
      <c r="G28" s="1">
        <f>IF('Order Side'!$G27, 'Order Side'!C27,)</f>
        <v>0</v>
      </c>
      <c r="H28" s="35"/>
    </row>
    <row r="29" spans="1:8" x14ac:dyDescent="0.25">
      <c r="A29" s="2">
        <f t="shared" si="1"/>
        <v>27</v>
      </c>
      <c r="B29" s="33">
        <f>Summary!C30</f>
        <v>20</v>
      </c>
      <c r="C29" s="1">
        <f>'Supply Side'!E28</f>
        <v>0</v>
      </c>
      <c r="D29" s="1">
        <f>IF('Order Side'!$G28, 'Supply Side'!F28,)</f>
        <v>20</v>
      </c>
      <c r="E29" s="37">
        <f>'Supply Side'!G28</f>
        <v>0</v>
      </c>
      <c r="F29" s="37">
        <f>'Supply Side'!H28</f>
        <v>0</v>
      </c>
      <c r="G29" s="1">
        <f>IF('Order Side'!$G28, 'Order Side'!C28,)</f>
        <v>0</v>
      </c>
      <c r="H29" s="35"/>
    </row>
    <row r="30" spans="1:8" x14ac:dyDescent="0.25">
      <c r="A30" s="2">
        <f t="shared" si="1"/>
        <v>28</v>
      </c>
      <c r="B30" s="33">
        <f>Summary!C31</f>
        <v>20</v>
      </c>
      <c r="C30" s="1">
        <f>'Supply Side'!E29</f>
        <v>0</v>
      </c>
      <c r="D30" s="1">
        <f>IF('Order Side'!$G29, 'Supply Side'!F29,)</f>
        <v>20</v>
      </c>
      <c r="E30" s="37">
        <f>'Supply Side'!G29</f>
        <v>0</v>
      </c>
      <c r="F30" s="37">
        <f>'Supply Side'!H29</f>
        <v>0</v>
      </c>
      <c r="G30" s="1">
        <f>IF('Order Side'!$G29, 'Order Side'!C29,)</f>
        <v>0</v>
      </c>
      <c r="H30" s="35"/>
    </row>
    <row r="31" spans="1:8" x14ac:dyDescent="0.25">
      <c r="A31" s="2">
        <f t="shared" si="1"/>
        <v>29</v>
      </c>
      <c r="B31" s="33">
        <f>Summary!C32</f>
        <v>20</v>
      </c>
      <c r="C31" s="1">
        <f>'Supply Side'!E30</f>
        <v>0</v>
      </c>
      <c r="D31" s="1">
        <f>IF('Order Side'!$G30, 'Supply Side'!F30,)</f>
        <v>20</v>
      </c>
      <c r="E31" s="37">
        <f>'Supply Side'!G30</f>
        <v>0</v>
      </c>
      <c r="F31" s="37">
        <f>'Supply Side'!H30</f>
        <v>0</v>
      </c>
      <c r="G31" s="1">
        <f>IF('Order Side'!$G30, 'Order Side'!C30,)</f>
        <v>0</v>
      </c>
      <c r="H31" s="35"/>
    </row>
    <row r="32" spans="1:8" x14ac:dyDescent="0.25">
      <c r="A32" s="2">
        <f t="shared" si="1"/>
        <v>30</v>
      </c>
      <c r="B32" s="33">
        <f>Summary!C33</f>
        <v>20</v>
      </c>
      <c r="C32" s="1">
        <f>'Supply Side'!E31</f>
        <v>0</v>
      </c>
      <c r="D32" s="1">
        <f>IF('Order Side'!$G31, 'Supply Side'!F31,)</f>
        <v>20</v>
      </c>
      <c r="E32" s="37">
        <f>'Supply Side'!G31</f>
        <v>0</v>
      </c>
      <c r="F32" s="37">
        <f>'Supply Side'!H31</f>
        <v>0</v>
      </c>
      <c r="G32" s="1">
        <f>IF('Order Side'!$G31, 'Order Side'!C31,)</f>
        <v>0</v>
      </c>
      <c r="H32" s="35"/>
    </row>
    <row r="33" spans="1:8" x14ac:dyDescent="0.25">
      <c r="A33" s="2">
        <f t="shared" si="1"/>
        <v>31</v>
      </c>
      <c r="B33" s="33">
        <f>Summary!C34</f>
        <v>20</v>
      </c>
      <c r="C33" s="1">
        <f>'Supply Side'!E32</f>
        <v>0</v>
      </c>
      <c r="D33" s="1">
        <f>IF('Order Side'!$G32, 'Supply Side'!F32,)</f>
        <v>20</v>
      </c>
      <c r="E33" s="37">
        <f>'Supply Side'!G32</f>
        <v>0</v>
      </c>
      <c r="F33" s="37">
        <f>'Supply Side'!H32</f>
        <v>0</v>
      </c>
      <c r="G33" s="1">
        <f>IF('Order Side'!$G32, 'Order Side'!C32,)</f>
        <v>0</v>
      </c>
      <c r="H33" s="35"/>
    </row>
    <row r="34" spans="1:8" x14ac:dyDescent="0.25">
      <c r="A34" s="2">
        <f t="shared" si="1"/>
        <v>32</v>
      </c>
      <c r="B34" s="33">
        <f>Summary!C35</f>
        <v>20</v>
      </c>
      <c r="C34" s="1">
        <f>'Supply Side'!E33</f>
        <v>0</v>
      </c>
      <c r="D34" s="1">
        <f>IF('Order Side'!$G33, 'Supply Side'!F33,)</f>
        <v>20</v>
      </c>
      <c r="E34" s="37">
        <f>'Supply Side'!G33</f>
        <v>0</v>
      </c>
      <c r="F34" s="37">
        <f>'Supply Side'!H33</f>
        <v>0</v>
      </c>
      <c r="G34" s="1">
        <f>IF('Order Side'!$G33, 'Order Side'!C33,)</f>
        <v>0</v>
      </c>
      <c r="H34" s="35"/>
    </row>
    <row r="35" spans="1:8" x14ac:dyDescent="0.25">
      <c r="A35" s="2">
        <f t="shared" si="1"/>
        <v>33</v>
      </c>
      <c r="B35" s="33">
        <f>Summary!C36</f>
        <v>20</v>
      </c>
      <c r="C35" s="1">
        <f>'Supply Side'!E34</f>
        <v>0</v>
      </c>
      <c r="D35" s="1">
        <f>IF('Order Side'!$G34, 'Supply Side'!F34,)</f>
        <v>20</v>
      </c>
      <c r="E35" s="37">
        <f>'Supply Side'!G34</f>
        <v>0</v>
      </c>
      <c r="F35" s="37">
        <f>'Supply Side'!H34</f>
        <v>0</v>
      </c>
      <c r="G35" s="1">
        <f>IF('Order Side'!$G34, 'Order Side'!C34,)</f>
        <v>0</v>
      </c>
      <c r="H35" s="35"/>
    </row>
    <row r="36" spans="1:8" x14ac:dyDescent="0.25">
      <c r="A36" s="2">
        <f t="shared" si="1"/>
        <v>34</v>
      </c>
      <c r="B36" s="33">
        <f>Summary!C37</f>
        <v>20</v>
      </c>
      <c r="C36" s="1">
        <f>'Supply Side'!E35</f>
        <v>0</v>
      </c>
      <c r="D36" s="1">
        <f>IF('Order Side'!$G35, 'Supply Side'!F35,)</f>
        <v>20</v>
      </c>
      <c r="E36" s="37">
        <f>'Supply Side'!G35</f>
        <v>0</v>
      </c>
      <c r="F36" s="37">
        <f>'Supply Side'!H35</f>
        <v>0</v>
      </c>
      <c r="G36" s="1">
        <f>IF('Order Side'!$G35, 'Order Side'!C35,)</f>
        <v>0</v>
      </c>
      <c r="H36" s="35"/>
    </row>
    <row r="37" spans="1:8" x14ac:dyDescent="0.25">
      <c r="A37" s="2">
        <f t="shared" si="1"/>
        <v>35</v>
      </c>
      <c r="B37" s="33">
        <f>Summary!C38</f>
        <v>20</v>
      </c>
      <c r="C37" s="1">
        <f>'Supply Side'!E36</f>
        <v>0</v>
      </c>
      <c r="D37" s="1">
        <f>IF('Order Side'!$G36, 'Supply Side'!F36,)</f>
        <v>20</v>
      </c>
      <c r="E37" s="37">
        <f>'Supply Side'!G36</f>
        <v>0</v>
      </c>
      <c r="F37" s="37">
        <f>'Supply Side'!H36</f>
        <v>0</v>
      </c>
      <c r="G37" s="1">
        <f>IF('Order Side'!$G36, 'Order Side'!C36,)</f>
        <v>0</v>
      </c>
      <c r="H37" s="35"/>
    </row>
    <row r="38" spans="1:8" x14ac:dyDescent="0.25">
      <c r="A38" s="2">
        <f t="shared" si="1"/>
        <v>36</v>
      </c>
      <c r="B38" s="33">
        <f>Summary!C39</f>
        <v>20</v>
      </c>
      <c r="C38" s="1">
        <f>'Supply Side'!E37</f>
        <v>0</v>
      </c>
      <c r="D38" s="1">
        <f>IF('Order Side'!$G37, 'Supply Side'!F37,)</f>
        <v>20</v>
      </c>
      <c r="E38" s="37">
        <f>'Supply Side'!G37</f>
        <v>0</v>
      </c>
      <c r="F38" s="37">
        <f>'Supply Side'!H37</f>
        <v>0</v>
      </c>
      <c r="G38" s="1">
        <f>IF('Order Side'!$G37, 'Order Side'!C37,)</f>
        <v>0</v>
      </c>
      <c r="H38" s="35"/>
    </row>
    <row r="39" spans="1:8" x14ac:dyDescent="0.25">
      <c r="A39" s="2">
        <f t="shared" si="1"/>
        <v>37</v>
      </c>
      <c r="B39" s="33">
        <f>Summary!C40</f>
        <v>20</v>
      </c>
      <c r="C39" s="1">
        <f>'Supply Side'!E38</f>
        <v>0</v>
      </c>
      <c r="D39" s="1">
        <f>IF('Order Side'!$G38, 'Supply Side'!F38,)</f>
        <v>20</v>
      </c>
      <c r="E39" s="37">
        <f>'Supply Side'!G38</f>
        <v>0</v>
      </c>
      <c r="F39" s="37">
        <f>'Supply Side'!H38</f>
        <v>0</v>
      </c>
      <c r="G39" s="1">
        <f>IF('Order Side'!$G38, 'Order Side'!C38,)</f>
        <v>0</v>
      </c>
      <c r="H39" s="35"/>
    </row>
    <row r="40" spans="1:8" x14ac:dyDescent="0.25">
      <c r="A40" s="2">
        <f t="shared" si="1"/>
        <v>38</v>
      </c>
      <c r="B40" s="33">
        <f>Summary!C41</f>
        <v>20</v>
      </c>
      <c r="C40" s="1">
        <f>'Supply Side'!E39</f>
        <v>0</v>
      </c>
      <c r="D40" s="1">
        <f>IF('Order Side'!$G39, 'Supply Side'!F39,)</f>
        <v>20</v>
      </c>
      <c r="E40" s="37">
        <f>'Supply Side'!G39</f>
        <v>0</v>
      </c>
      <c r="F40" s="37">
        <f>'Supply Side'!H39</f>
        <v>0</v>
      </c>
      <c r="G40" s="1">
        <f>IF('Order Side'!$G39, 'Order Side'!C39,)</f>
        <v>0</v>
      </c>
      <c r="H40" s="35"/>
    </row>
    <row r="41" spans="1:8" x14ac:dyDescent="0.25">
      <c r="A41" s="2">
        <f t="shared" si="1"/>
        <v>39</v>
      </c>
      <c r="B41" s="33">
        <f>Summary!C42</f>
        <v>20</v>
      </c>
      <c r="C41" s="1">
        <f>'Supply Side'!E40</f>
        <v>0</v>
      </c>
      <c r="D41" s="1">
        <f>IF('Order Side'!$G40, 'Supply Side'!F40,)</f>
        <v>20</v>
      </c>
      <c r="E41" s="37">
        <f>'Supply Side'!G40</f>
        <v>0</v>
      </c>
      <c r="F41" s="37">
        <f>'Supply Side'!H40</f>
        <v>0</v>
      </c>
      <c r="G41" s="1">
        <f>IF('Order Side'!$G40, 'Order Side'!C40,)</f>
        <v>0</v>
      </c>
      <c r="H41" s="35"/>
    </row>
    <row r="42" spans="1:8" x14ac:dyDescent="0.25">
      <c r="A42" s="2">
        <f t="shared" si="1"/>
        <v>40</v>
      </c>
      <c r="B42" s="33">
        <f>Summary!C43</f>
        <v>20</v>
      </c>
      <c r="C42" s="1">
        <f>'Supply Side'!E41</f>
        <v>0</v>
      </c>
      <c r="D42" s="1">
        <f>IF('Order Side'!$G41, 'Supply Side'!F41,)</f>
        <v>20</v>
      </c>
      <c r="E42" s="37">
        <f>'Supply Side'!G41</f>
        <v>0</v>
      </c>
      <c r="F42" s="37">
        <f>'Supply Side'!H41</f>
        <v>0</v>
      </c>
      <c r="G42" s="1">
        <f>IF('Order Side'!$G41, 'Order Side'!C41,)</f>
        <v>0</v>
      </c>
      <c r="H42" s="35"/>
    </row>
    <row r="43" spans="1:8" x14ac:dyDescent="0.25">
      <c r="A43" s="2">
        <f t="shared" si="1"/>
        <v>41</v>
      </c>
      <c r="B43" s="33">
        <f>Summary!C44</f>
        <v>20</v>
      </c>
      <c r="C43" s="1">
        <f>'Supply Side'!E42</f>
        <v>0</v>
      </c>
      <c r="D43" s="1">
        <f>IF('Order Side'!$G42, 'Supply Side'!F42,)</f>
        <v>20</v>
      </c>
      <c r="E43" s="37">
        <f>'Supply Side'!G42</f>
        <v>0</v>
      </c>
      <c r="F43" s="37">
        <f>'Supply Side'!H42</f>
        <v>0</v>
      </c>
      <c r="G43" s="1">
        <f>IF('Order Side'!$G42, 'Order Side'!C42,)</f>
        <v>0</v>
      </c>
      <c r="H43" s="35"/>
    </row>
    <row r="44" spans="1:8" x14ac:dyDescent="0.25">
      <c r="A44" s="2">
        <f t="shared" si="1"/>
        <v>42</v>
      </c>
      <c r="B44" s="33">
        <f>Summary!C45</f>
        <v>20</v>
      </c>
      <c r="C44" s="1">
        <f>'Supply Side'!E43</f>
        <v>0</v>
      </c>
      <c r="D44" s="1">
        <f>IF('Order Side'!$G43, 'Supply Side'!F43,)</f>
        <v>20</v>
      </c>
      <c r="E44" s="37">
        <f>'Supply Side'!G43</f>
        <v>0</v>
      </c>
      <c r="F44" s="37">
        <f>'Supply Side'!H43</f>
        <v>0</v>
      </c>
      <c r="G44" s="1">
        <f>IF('Order Side'!$G43, 'Order Side'!C43,)</f>
        <v>0</v>
      </c>
      <c r="H44" s="35"/>
    </row>
    <row r="45" spans="1:8" x14ac:dyDescent="0.25">
      <c r="A45" s="2">
        <f t="shared" si="1"/>
        <v>43</v>
      </c>
      <c r="B45" s="33">
        <f>Summary!C46</f>
        <v>20</v>
      </c>
      <c r="C45" s="1">
        <f>'Supply Side'!E44</f>
        <v>0</v>
      </c>
      <c r="D45" s="1">
        <f>IF('Order Side'!$G44, 'Supply Side'!F44,)</f>
        <v>20</v>
      </c>
      <c r="E45" s="37">
        <f>'Supply Side'!G44</f>
        <v>0</v>
      </c>
      <c r="F45" s="37">
        <f>'Supply Side'!H44</f>
        <v>0</v>
      </c>
      <c r="G45" s="1">
        <f>IF('Order Side'!$G44, 'Order Side'!C44,)</f>
        <v>0</v>
      </c>
      <c r="H45" s="35"/>
    </row>
    <row r="46" spans="1:8" x14ac:dyDescent="0.25">
      <c r="A46" s="2">
        <f t="shared" si="1"/>
        <v>44</v>
      </c>
      <c r="B46" s="33">
        <f>Summary!C47</f>
        <v>20</v>
      </c>
      <c r="C46" s="1">
        <f>'Supply Side'!E45</f>
        <v>0</v>
      </c>
      <c r="D46" s="1">
        <f>IF('Order Side'!$G45, 'Supply Side'!F45,)</f>
        <v>20</v>
      </c>
      <c r="E46" s="37">
        <f>'Supply Side'!G45</f>
        <v>0</v>
      </c>
      <c r="F46" s="37">
        <f>'Supply Side'!H45</f>
        <v>0</v>
      </c>
      <c r="G46" s="1">
        <f>IF('Order Side'!$G45, 'Order Side'!C45,)</f>
        <v>0</v>
      </c>
      <c r="H46" s="35"/>
    </row>
    <row r="47" spans="1:8" x14ac:dyDescent="0.25">
      <c r="A47" s="2">
        <f t="shared" si="1"/>
        <v>45</v>
      </c>
      <c r="B47" s="33">
        <f>Summary!C48</f>
        <v>20</v>
      </c>
      <c r="C47" s="1">
        <f>'Supply Side'!E46</f>
        <v>0</v>
      </c>
      <c r="D47" s="1">
        <f>IF('Order Side'!$G46, 'Supply Side'!F46,)</f>
        <v>20</v>
      </c>
      <c r="E47" s="37">
        <f>'Supply Side'!G46</f>
        <v>0</v>
      </c>
      <c r="F47" s="37">
        <f>'Supply Side'!H46</f>
        <v>0</v>
      </c>
      <c r="G47" s="1">
        <f>IF('Order Side'!$G46, 'Order Side'!C46,)</f>
        <v>0</v>
      </c>
      <c r="H47" s="35"/>
    </row>
    <row r="48" spans="1:8" x14ac:dyDescent="0.25">
      <c r="A48" s="2">
        <f t="shared" si="1"/>
        <v>46</v>
      </c>
      <c r="B48" s="33">
        <f>Summary!C49</f>
        <v>20</v>
      </c>
      <c r="C48" s="1">
        <f>'Supply Side'!E47</f>
        <v>0</v>
      </c>
      <c r="D48" s="1">
        <f>IF('Order Side'!$G47, 'Supply Side'!F47,)</f>
        <v>20</v>
      </c>
      <c r="E48" s="37">
        <f>'Supply Side'!G47</f>
        <v>0</v>
      </c>
      <c r="F48" s="37">
        <f>'Supply Side'!H47</f>
        <v>0</v>
      </c>
      <c r="G48" s="1">
        <f>IF('Order Side'!$G47, 'Order Side'!C47,)</f>
        <v>0</v>
      </c>
      <c r="H48" s="35"/>
    </row>
    <row r="49" spans="1:8" x14ac:dyDescent="0.25">
      <c r="A49" s="2">
        <f t="shared" si="1"/>
        <v>47</v>
      </c>
      <c r="B49" s="33">
        <f>Summary!C50</f>
        <v>20</v>
      </c>
      <c r="C49" s="1">
        <f>'Supply Side'!E48</f>
        <v>0</v>
      </c>
      <c r="D49" s="1">
        <f>IF('Order Side'!$G48, 'Supply Side'!F48,)</f>
        <v>20</v>
      </c>
      <c r="E49" s="37">
        <f>'Supply Side'!G48</f>
        <v>0</v>
      </c>
      <c r="F49" s="37">
        <f>'Supply Side'!H48</f>
        <v>0</v>
      </c>
      <c r="G49" s="1">
        <f>IF('Order Side'!$G48, 'Order Side'!C48,)</f>
        <v>0</v>
      </c>
      <c r="H49" s="35"/>
    </row>
    <row r="50" spans="1:8" x14ac:dyDescent="0.25">
      <c r="A50" s="2">
        <f t="shared" si="1"/>
        <v>48</v>
      </c>
      <c r="B50" s="33">
        <f>Summary!C51</f>
        <v>20</v>
      </c>
      <c r="C50" s="1">
        <f>'Supply Side'!E49</f>
        <v>0</v>
      </c>
      <c r="D50" s="1">
        <f>IF('Order Side'!$G49, 'Supply Side'!F49,)</f>
        <v>20</v>
      </c>
      <c r="E50" s="37">
        <f>'Supply Side'!G49</f>
        <v>0</v>
      </c>
      <c r="F50" s="37">
        <f>'Supply Side'!H49</f>
        <v>0</v>
      </c>
      <c r="G50" s="1">
        <f>IF('Order Side'!$G49, 'Order Side'!C49,)</f>
        <v>0</v>
      </c>
      <c r="H50" s="35"/>
    </row>
    <row r="51" spans="1:8" x14ac:dyDescent="0.25">
      <c r="A51" s="2">
        <f t="shared" si="1"/>
        <v>49</v>
      </c>
      <c r="B51" s="33">
        <f>Summary!C52</f>
        <v>20</v>
      </c>
      <c r="C51" s="1">
        <f>'Supply Side'!E50</f>
        <v>0</v>
      </c>
      <c r="D51" s="1">
        <f>IF('Order Side'!$G50, 'Supply Side'!F50,)</f>
        <v>20</v>
      </c>
      <c r="E51" s="37">
        <f>'Supply Side'!G50</f>
        <v>0</v>
      </c>
      <c r="F51" s="37">
        <f>'Supply Side'!H50</f>
        <v>0</v>
      </c>
      <c r="G51" s="1">
        <f>IF('Order Side'!$G50, 'Order Side'!C50,)</f>
        <v>0</v>
      </c>
      <c r="H51" s="35"/>
    </row>
    <row r="52" spans="1:8" x14ac:dyDescent="0.25">
      <c r="A52" s="2">
        <f t="shared" si="1"/>
        <v>50</v>
      </c>
      <c r="B52" s="33">
        <f>Summary!C53</f>
        <v>20</v>
      </c>
      <c r="C52" s="1">
        <f>'Supply Side'!E51</f>
        <v>0</v>
      </c>
      <c r="D52" s="1">
        <f>IF('Order Side'!$G51, 'Supply Side'!F51,)</f>
        <v>20</v>
      </c>
      <c r="E52" s="37">
        <f>'Supply Side'!G51</f>
        <v>0</v>
      </c>
      <c r="F52" s="37">
        <f>'Supply Side'!H51</f>
        <v>0</v>
      </c>
      <c r="G52" s="1">
        <f>IF('Order Side'!$G51, 'Order Side'!C51,)</f>
        <v>0</v>
      </c>
      <c r="H52" s="35"/>
    </row>
  </sheetData>
  <conditionalFormatting sqref="C2:C52">
    <cfRule type="expression" dxfId="7" priority="4">
      <formula>$G2&lt;=C2</formula>
    </cfRule>
  </conditionalFormatting>
  <conditionalFormatting sqref="D1:D52">
    <cfRule type="cellIs" dxfId="6" priority="2" operator="lessThanOrEqual">
      <formula>0</formula>
    </cfRule>
  </conditionalFormatting>
  <conditionalFormatting sqref="E1:F52 C2:C52">
    <cfRule type="cellIs" dxfId="5" priority="3" operator="equal">
      <formula>0</formula>
    </cfRule>
  </conditionalFormatting>
  <conditionalFormatting sqref="H2:H52">
    <cfRule type="expression" dxfId="4" priority="1">
      <formula>$A2=$A$1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5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25"/>
  <cols>
    <col min="2" max="3" width="8.77734375" customWidth="1"/>
    <col min="4" max="4" width="17" customWidth="1"/>
    <col min="5" max="5" width="8.6640625" customWidth="1"/>
    <col min="6" max="6" width="9.21875" customWidth="1"/>
    <col min="7" max="7" width="18.21875" customWidth="1"/>
    <col min="8" max="8" width="17.77734375" customWidth="1"/>
  </cols>
  <sheetData>
    <row r="1" spans="1:8" x14ac:dyDescent="0.25">
      <c r="A1" s="2">
        <f ca="1">Summary!$A$1</f>
        <v>1</v>
      </c>
      <c r="B1" s="26">
        <f ca="1">SUM(B3:B52)</f>
        <v>21558</v>
      </c>
      <c r="C1" s="34">
        <f t="shared" ref="C1:D1" ca="1" si="0">AVERAGE(C3:C52)</f>
        <v>0.5</v>
      </c>
      <c r="D1" s="34">
        <f t="shared" ca="1" si="0"/>
        <v>-214.38</v>
      </c>
      <c r="E1" s="34" t="s">
        <v>28</v>
      </c>
      <c r="F1" s="34"/>
      <c r="G1" s="34">
        <f ca="1">AVERAGE(G3:G52)</f>
        <v>10.52</v>
      </c>
      <c r="H1" s="34">
        <f>IFERROR(AVERAGE(H3:H52), )</f>
        <v>0</v>
      </c>
    </row>
    <row r="2" spans="1:8" x14ac:dyDescent="0.25">
      <c r="A2" s="2" t="s">
        <v>3</v>
      </c>
      <c r="B2" s="2" t="s">
        <v>29</v>
      </c>
      <c r="C2" s="2" t="s">
        <v>30</v>
      </c>
      <c r="D2" s="2" t="s">
        <v>31</v>
      </c>
      <c r="E2" s="36" t="s">
        <v>32</v>
      </c>
      <c r="F2" s="36" t="s">
        <v>33</v>
      </c>
      <c r="G2" s="2" t="s">
        <v>34</v>
      </c>
      <c r="H2" s="2" t="s">
        <v>35</v>
      </c>
    </row>
    <row r="3" spans="1:8" x14ac:dyDescent="0.25">
      <c r="A3" s="2">
        <v>1</v>
      </c>
      <c r="B3" s="33">
        <f>Summary!B4</f>
        <v>15</v>
      </c>
      <c r="C3" s="1">
        <f>'Supply Side'!B2</f>
        <v>5</v>
      </c>
      <c r="D3" s="1">
        <f>IF('Order Side'!$G2, 'Supply Side'!C2,)</f>
        <v>15</v>
      </c>
      <c r="E3" s="37">
        <f>'Supply Side'!D2</f>
        <v>0</v>
      </c>
      <c r="F3" s="37">
        <f>'Supply Side'!E2</f>
        <v>5</v>
      </c>
      <c r="G3" s="1">
        <f>IF('Order Side'!$G2, 'Order Side'!B2,)</f>
        <v>5</v>
      </c>
      <c r="H3" s="35"/>
    </row>
    <row r="4" spans="1:8" x14ac:dyDescent="0.25">
      <c r="A4" s="2">
        <f t="shared" ref="A4:A52" si="1">A3+1</f>
        <v>2</v>
      </c>
      <c r="B4" s="33">
        <f>Summary!B5</f>
        <v>10</v>
      </c>
      <c r="C4" s="1">
        <f>'Supply Side'!B3</f>
        <v>5</v>
      </c>
      <c r="D4" s="1">
        <f>IF('Order Side'!$G3, 'Supply Side'!C3,)</f>
        <v>10</v>
      </c>
      <c r="E4" s="37">
        <f>'Supply Side'!D3</f>
        <v>5</v>
      </c>
      <c r="F4" s="37">
        <f>'Supply Side'!E3</f>
        <v>0</v>
      </c>
      <c r="G4" s="1">
        <f>IF('Order Side'!$G3, 'Order Side'!B3,)</f>
        <v>5</v>
      </c>
      <c r="H4" s="35"/>
    </row>
    <row r="5" spans="1:8" x14ac:dyDescent="0.25">
      <c r="A5" s="2">
        <f t="shared" si="1"/>
        <v>3</v>
      </c>
      <c r="B5" s="33">
        <f>Summary!B6</f>
        <v>10</v>
      </c>
      <c r="C5" s="1">
        <f>'Supply Side'!B4</f>
        <v>5</v>
      </c>
      <c r="D5" s="1">
        <f>IF('Order Side'!$G4, 'Supply Side'!C4,)</f>
        <v>10</v>
      </c>
      <c r="E5" s="37">
        <f>'Supply Side'!D4</f>
        <v>0</v>
      </c>
      <c r="F5" s="37">
        <f>'Supply Side'!E4</f>
        <v>0</v>
      </c>
      <c r="G5" s="1">
        <f>IF('Order Side'!$G4, 'Order Side'!B4,)</f>
        <v>5</v>
      </c>
      <c r="H5" s="35"/>
    </row>
    <row r="6" spans="1:8" x14ac:dyDescent="0.25">
      <c r="A6" s="2">
        <f t="shared" si="1"/>
        <v>4</v>
      </c>
      <c r="B6" s="33">
        <f>Summary!B7</f>
        <v>5</v>
      </c>
      <c r="C6" s="1">
        <f>'Supply Side'!B5</f>
        <v>5</v>
      </c>
      <c r="D6" s="1">
        <f>IF('Order Side'!$G5, 'Supply Side'!C5,)</f>
        <v>5</v>
      </c>
      <c r="E6" s="37">
        <f>'Supply Side'!D5</f>
        <v>0</v>
      </c>
      <c r="F6" s="37">
        <f>'Supply Side'!E5</f>
        <v>0</v>
      </c>
      <c r="G6" s="1">
        <f>IF('Order Side'!$G5, 'Order Side'!B5,)</f>
        <v>5</v>
      </c>
      <c r="H6" s="35"/>
    </row>
    <row r="7" spans="1:8" x14ac:dyDescent="0.25">
      <c r="A7" s="2">
        <f t="shared" si="1"/>
        <v>5</v>
      </c>
      <c r="B7" s="33">
        <f>Summary!B8</f>
        <v>0</v>
      </c>
      <c r="C7" s="1">
        <f>'Supply Side'!B6</f>
        <v>5</v>
      </c>
      <c r="D7" s="1">
        <f>IF('Order Side'!$G6, 'Supply Side'!C6,)</f>
        <v>0</v>
      </c>
      <c r="E7" s="37">
        <f>'Supply Side'!D6</f>
        <v>0</v>
      </c>
      <c r="F7" s="37">
        <f>'Supply Side'!E6</f>
        <v>0</v>
      </c>
      <c r="G7" s="1">
        <f>IF('Order Side'!$G6, 'Order Side'!B6,)</f>
        <v>5</v>
      </c>
      <c r="H7" s="35"/>
    </row>
    <row r="8" spans="1:8" x14ac:dyDescent="0.25">
      <c r="A8" s="2">
        <f t="shared" si="1"/>
        <v>6</v>
      </c>
      <c r="B8" s="33">
        <f>Summary!B9</f>
        <v>10</v>
      </c>
      <c r="C8" s="1">
        <f>'Supply Side'!B7</f>
        <v>0</v>
      </c>
      <c r="D8" s="1">
        <f>IF('Order Side'!$G7, 'Supply Side'!C7,)</f>
        <v>-5</v>
      </c>
      <c r="E8" s="37">
        <f>'Supply Side'!D7</f>
        <v>0</v>
      </c>
      <c r="F8" s="37">
        <f>'Supply Side'!E7</f>
        <v>0</v>
      </c>
      <c r="G8" s="1">
        <f>IF('Order Side'!$G7, 'Order Side'!B7,)</f>
        <v>5</v>
      </c>
      <c r="H8" s="35"/>
    </row>
    <row r="9" spans="1:8" x14ac:dyDescent="0.25">
      <c r="A9" s="2">
        <f t="shared" si="1"/>
        <v>7</v>
      </c>
      <c r="B9" s="33">
        <f>Summary!B10</f>
        <v>20</v>
      </c>
      <c r="C9" s="1">
        <f>'Supply Side'!B8</f>
        <v>0</v>
      </c>
      <c r="D9" s="1">
        <f>IF('Order Side'!$G8, 'Supply Side'!C8,)</f>
        <v>-10</v>
      </c>
      <c r="E9" s="37">
        <f>'Supply Side'!D8</f>
        <v>0</v>
      </c>
      <c r="F9" s="37">
        <f>'Supply Side'!E8</f>
        <v>0</v>
      </c>
      <c r="G9" s="1">
        <f>IF('Order Side'!$G8, 'Order Side'!B8,)</f>
        <v>5</v>
      </c>
      <c r="H9" s="35"/>
    </row>
    <row r="10" spans="1:8" x14ac:dyDescent="0.25">
      <c r="A10" s="2">
        <f t="shared" si="1"/>
        <v>8</v>
      </c>
      <c r="B10" s="33">
        <f>Summary!B11</f>
        <v>30</v>
      </c>
      <c r="C10" s="1">
        <f>'Supply Side'!B9</f>
        <v>0</v>
      </c>
      <c r="D10" s="1">
        <f>IF('Order Side'!$G9, 'Supply Side'!C9,)</f>
        <v>-15</v>
      </c>
      <c r="E10" s="37">
        <f>'Supply Side'!D9</f>
        <v>0</v>
      </c>
      <c r="F10" s="37">
        <f>'Supply Side'!E9</f>
        <v>0</v>
      </c>
      <c r="G10" s="1">
        <f>IF('Order Side'!$G9, 'Order Side'!B9,)</f>
        <v>5</v>
      </c>
      <c r="H10" s="35"/>
    </row>
    <row r="11" spans="1:8" x14ac:dyDescent="0.25">
      <c r="A11" s="2">
        <f t="shared" si="1"/>
        <v>9</v>
      </c>
      <c r="B11" s="33">
        <f>Summary!B12</f>
        <v>40</v>
      </c>
      <c r="C11" s="1">
        <f>'Supply Side'!B10</f>
        <v>0</v>
      </c>
      <c r="D11" s="1">
        <f>IF('Order Side'!$G10, 'Supply Side'!C10,)</f>
        <v>-20</v>
      </c>
      <c r="E11" s="37">
        <f>'Supply Side'!D10</f>
        <v>0</v>
      </c>
      <c r="F11" s="37">
        <f>'Supply Side'!E10</f>
        <v>0</v>
      </c>
      <c r="G11" s="1">
        <f>IF('Order Side'!$G10, 'Order Side'!B10,)</f>
        <v>5</v>
      </c>
      <c r="H11" s="35"/>
    </row>
    <row r="12" spans="1:8" x14ac:dyDescent="0.25">
      <c r="A12" s="2">
        <f t="shared" si="1"/>
        <v>10</v>
      </c>
      <c r="B12" s="33">
        <f>Summary!B13</f>
        <v>50</v>
      </c>
      <c r="C12" s="1">
        <f>'Supply Side'!B11</f>
        <v>0</v>
      </c>
      <c r="D12" s="1">
        <f>IF('Order Side'!$G11, 'Supply Side'!C11,)</f>
        <v>-25</v>
      </c>
      <c r="E12" s="37">
        <f>'Supply Side'!D11</f>
        <v>0</v>
      </c>
      <c r="F12" s="37">
        <f>'Supply Side'!E11</f>
        <v>0</v>
      </c>
      <c r="G12" s="1">
        <f>IF('Order Side'!$G11, 'Order Side'!B11,)</f>
        <v>5</v>
      </c>
      <c r="H12" s="35"/>
    </row>
    <row r="13" spans="1:8" x14ac:dyDescent="0.25">
      <c r="A13" s="2">
        <f t="shared" si="1"/>
        <v>11</v>
      </c>
      <c r="B13" s="33">
        <f ca="1">Summary!B14</f>
        <v>74</v>
      </c>
      <c r="C13" s="1">
        <f ca="1">'Supply Side'!B12</f>
        <v>0</v>
      </c>
      <c r="D13" s="1">
        <f ca="1">IF('Order Side'!$G12, 'Supply Side'!C12,)</f>
        <v>-37</v>
      </c>
      <c r="E13" s="37">
        <f>'Supply Side'!D12</f>
        <v>0</v>
      </c>
      <c r="F13" s="37">
        <f>'Supply Side'!E12</f>
        <v>0</v>
      </c>
      <c r="G13" s="1">
        <f ca="1">IF('Order Side'!$G12, 'Order Side'!B12,)</f>
        <v>12</v>
      </c>
      <c r="H13" s="35"/>
    </row>
    <row r="14" spans="1:8" x14ac:dyDescent="0.25">
      <c r="A14" s="2">
        <f t="shared" si="1"/>
        <v>12</v>
      </c>
      <c r="B14" s="33">
        <f ca="1">Summary!B15</f>
        <v>90</v>
      </c>
      <c r="C14" s="1">
        <f ca="1">'Supply Side'!B13</f>
        <v>0</v>
      </c>
      <c r="D14" s="1">
        <f ca="1">IF('Order Side'!$G13, 'Supply Side'!C13,)</f>
        <v>-45</v>
      </c>
      <c r="E14" s="37">
        <f>'Supply Side'!D13</f>
        <v>0</v>
      </c>
      <c r="F14" s="37">
        <f>'Supply Side'!E13</f>
        <v>0</v>
      </c>
      <c r="G14" s="1">
        <f ca="1">IF('Order Side'!$G13, 'Order Side'!B13,)</f>
        <v>8</v>
      </c>
      <c r="H14" s="35"/>
    </row>
    <row r="15" spans="1:8" x14ac:dyDescent="0.25">
      <c r="A15" s="2">
        <f t="shared" si="1"/>
        <v>13</v>
      </c>
      <c r="B15" s="33">
        <f ca="1">Summary!B16</f>
        <v>114</v>
      </c>
      <c r="C15" s="1">
        <f ca="1">'Supply Side'!B14</f>
        <v>0</v>
      </c>
      <c r="D15" s="1">
        <f ca="1">IF('Order Side'!$G14, 'Supply Side'!C14,)</f>
        <v>-57</v>
      </c>
      <c r="E15" s="37">
        <f>'Supply Side'!D14</f>
        <v>0</v>
      </c>
      <c r="F15" s="37">
        <f>'Supply Side'!E14</f>
        <v>0</v>
      </c>
      <c r="G15" s="1">
        <f ca="1">IF('Order Side'!$G14, 'Order Side'!B14,)</f>
        <v>12</v>
      </c>
      <c r="H15" s="35"/>
    </row>
    <row r="16" spans="1:8" x14ac:dyDescent="0.25">
      <c r="A16" s="2">
        <f t="shared" si="1"/>
        <v>14</v>
      </c>
      <c r="B16" s="33">
        <f ca="1">Summary!B17</f>
        <v>138</v>
      </c>
      <c r="C16" s="1">
        <f ca="1">'Supply Side'!B15</f>
        <v>0</v>
      </c>
      <c r="D16" s="1">
        <f ca="1">IF('Order Side'!$G15, 'Supply Side'!C15,)</f>
        <v>-69</v>
      </c>
      <c r="E16" s="37">
        <f>'Supply Side'!D15</f>
        <v>0</v>
      </c>
      <c r="F16" s="37">
        <f>'Supply Side'!E15</f>
        <v>0</v>
      </c>
      <c r="G16" s="1">
        <f ca="1">IF('Order Side'!$G15, 'Order Side'!B15,)</f>
        <v>12</v>
      </c>
      <c r="H16" s="35"/>
    </row>
    <row r="17" spans="1:8" x14ac:dyDescent="0.25">
      <c r="A17" s="2">
        <f t="shared" si="1"/>
        <v>15</v>
      </c>
      <c r="B17" s="33">
        <f ca="1">Summary!B18</f>
        <v>162</v>
      </c>
      <c r="C17" s="1">
        <f ca="1">'Supply Side'!B16</f>
        <v>0</v>
      </c>
      <c r="D17" s="1">
        <f ca="1">IF('Order Side'!$G16, 'Supply Side'!C16,)</f>
        <v>-81</v>
      </c>
      <c r="E17" s="37">
        <f>'Supply Side'!D16</f>
        <v>0</v>
      </c>
      <c r="F17" s="37">
        <f>'Supply Side'!E16</f>
        <v>0</v>
      </c>
      <c r="G17" s="1">
        <f ca="1">IF('Order Side'!$G16, 'Order Side'!B16,)</f>
        <v>12</v>
      </c>
      <c r="H17" s="35"/>
    </row>
    <row r="18" spans="1:8" x14ac:dyDescent="0.25">
      <c r="A18" s="2">
        <f t="shared" si="1"/>
        <v>16</v>
      </c>
      <c r="B18" s="33">
        <f ca="1">Summary!B19</f>
        <v>186</v>
      </c>
      <c r="C18" s="1">
        <f ca="1">'Supply Side'!B17</f>
        <v>0</v>
      </c>
      <c r="D18" s="1">
        <f ca="1">IF('Order Side'!$G17, 'Supply Side'!C17,)</f>
        <v>-93</v>
      </c>
      <c r="E18" s="37">
        <f>'Supply Side'!D17</f>
        <v>0</v>
      </c>
      <c r="F18" s="37">
        <f>'Supply Side'!E17</f>
        <v>0</v>
      </c>
      <c r="G18" s="1">
        <f ca="1">IF('Order Side'!$G17, 'Order Side'!B17,)</f>
        <v>12</v>
      </c>
      <c r="H18" s="35"/>
    </row>
    <row r="19" spans="1:8" x14ac:dyDescent="0.25">
      <c r="A19" s="2">
        <f t="shared" si="1"/>
        <v>17</v>
      </c>
      <c r="B19" s="33">
        <f ca="1">Summary!B20</f>
        <v>210</v>
      </c>
      <c r="C19" s="1">
        <f ca="1">'Supply Side'!B18</f>
        <v>0</v>
      </c>
      <c r="D19" s="1">
        <f ca="1">IF('Order Side'!$G18, 'Supply Side'!C18,)</f>
        <v>-105</v>
      </c>
      <c r="E19" s="37">
        <f>'Supply Side'!D18</f>
        <v>0</v>
      </c>
      <c r="F19" s="37">
        <f>'Supply Side'!E18</f>
        <v>0</v>
      </c>
      <c r="G19" s="1">
        <f ca="1">IF('Order Side'!$G18, 'Order Side'!B18,)</f>
        <v>12</v>
      </c>
      <c r="H19" s="35"/>
    </row>
    <row r="20" spans="1:8" x14ac:dyDescent="0.25">
      <c r="A20" s="2">
        <f t="shared" si="1"/>
        <v>18</v>
      </c>
      <c r="B20" s="33">
        <f ca="1">Summary!B21</f>
        <v>234</v>
      </c>
      <c r="C20" s="1">
        <f ca="1">'Supply Side'!B19</f>
        <v>0</v>
      </c>
      <c r="D20" s="1">
        <f ca="1">IF('Order Side'!$G19, 'Supply Side'!C19,)</f>
        <v>-117</v>
      </c>
      <c r="E20" s="37">
        <f>'Supply Side'!D19</f>
        <v>0</v>
      </c>
      <c r="F20" s="37">
        <f>'Supply Side'!E19</f>
        <v>0</v>
      </c>
      <c r="G20" s="1">
        <f ca="1">IF('Order Side'!$G19, 'Order Side'!B19,)</f>
        <v>12</v>
      </c>
      <c r="H20" s="35"/>
    </row>
    <row r="21" spans="1:8" x14ac:dyDescent="0.25">
      <c r="A21" s="2">
        <f t="shared" si="1"/>
        <v>19</v>
      </c>
      <c r="B21" s="33">
        <f ca="1">Summary!B22</f>
        <v>258</v>
      </c>
      <c r="C21" s="1">
        <f ca="1">'Supply Side'!B20</f>
        <v>0</v>
      </c>
      <c r="D21" s="1">
        <f ca="1">IF('Order Side'!$G20, 'Supply Side'!C20,)</f>
        <v>-129</v>
      </c>
      <c r="E21" s="37">
        <f>'Supply Side'!D20</f>
        <v>0</v>
      </c>
      <c r="F21" s="37">
        <f>'Supply Side'!E20</f>
        <v>0</v>
      </c>
      <c r="G21" s="1">
        <f ca="1">IF('Order Side'!$G20, 'Order Side'!B20,)</f>
        <v>12</v>
      </c>
      <c r="H21" s="35"/>
    </row>
    <row r="22" spans="1:8" x14ac:dyDescent="0.25">
      <c r="A22" s="2">
        <f t="shared" si="1"/>
        <v>20</v>
      </c>
      <c r="B22" s="33">
        <f ca="1">Summary!B23</f>
        <v>282</v>
      </c>
      <c r="C22" s="1">
        <f ca="1">'Supply Side'!B21</f>
        <v>0</v>
      </c>
      <c r="D22" s="1">
        <f ca="1">IF('Order Side'!$G21, 'Supply Side'!C21,)</f>
        <v>-141</v>
      </c>
      <c r="E22" s="37">
        <f>'Supply Side'!D21</f>
        <v>0</v>
      </c>
      <c r="F22" s="37">
        <f>'Supply Side'!E21</f>
        <v>0</v>
      </c>
      <c r="G22" s="1">
        <f ca="1">IF('Order Side'!$G21, 'Order Side'!B21,)</f>
        <v>12</v>
      </c>
      <c r="H22" s="35"/>
    </row>
    <row r="23" spans="1:8" x14ac:dyDescent="0.25">
      <c r="A23" s="2">
        <f t="shared" si="1"/>
        <v>21</v>
      </c>
      <c r="B23" s="33">
        <f ca="1">Summary!B24</f>
        <v>306</v>
      </c>
      <c r="C23" s="1">
        <f ca="1">'Supply Side'!B22</f>
        <v>0</v>
      </c>
      <c r="D23" s="1">
        <f ca="1">IF('Order Side'!$G22, 'Supply Side'!C22,)</f>
        <v>-153</v>
      </c>
      <c r="E23" s="37">
        <f>'Supply Side'!D22</f>
        <v>0</v>
      </c>
      <c r="F23" s="37">
        <f>'Supply Side'!E22</f>
        <v>0</v>
      </c>
      <c r="G23" s="1">
        <f ca="1">IF('Order Side'!$G22, 'Order Side'!B22,)</f>
        <v>12</v>
      </c>
      <c r="H23" s="35"/>
    </row>
    <row r="24" spans="1:8" x14ac:dyDescent="0.25">
      <c r="A24" s="2">
        <f t="shared" si="1"/>
        <v>22</v>
      </c>
      <c r="B24" s="33">
        <f ca="1">Summary!B25</f>
        <v>330</v>
      </c>
      <c r="C24" s="1">
        <f ca="1">'Supply Side'!B23</f>
        <v>0</v>
      </c>
      <c r="D24" s="1">
        <f ca="1">IF('Order Side'!$G23, 'Supply Side'!C23,)</f>
        <v>-165</v>
      </c>
      <c r="E24" s="37">
        <f>'Supply Side'!D23</f>
        <v>0</v>
      </c>
      <c r="F24" s="37">
        <f>'Supply Side'!E23</f>
        <v>0</v>
      </c>
      <c r="G24" s="1">
        <f ca="1">IF('Order Side'!$G23, 'Order Side'!B23,)</f>
        <v>12</v>
      </c>
      <c r="H24" s="35"/>
    </row>
    <row r="25" spans="1:8" x14ac:dyDescent="0.25">
      <c r="A25" s="2">
        <f t="shared" si="1"/>
        <v>23</v>
      </c>
      <c r="B25" s="33">
        <f ca="1">Summary!B26</f>
        <v>354</v>
      </c>
      <c r="C25" s="1">
        <f ca="1">'Supply Side'!B24</f>
        <v>0</v>
      </c>
      <c r="D25" s="1">
        <f ca="1">IF('Order Side'!$G24, 'Supply Side'!C24,)</f>
        <v>-177</v>
      </c>
      <c r="E25" s="37">
        <f>'Supply Side'!D24</f>
        <v>0</v>
      </c>
      <c r="F25" s="37">
        <f>'Supply Side'!E24</f>
        <v>0</v>
      </c>
      <c r="G25" s="1">
        <f ca="1">IF('Order Side'!$G24, 'Order Side'!B24,)</f>
        <v>12</v>
      </c>
      <c r="H25" s="35"/>
    </row>
    <row r="26" spans="1:8" x14ac:dyDescent="0.25">
      <c r="A26" s="2">
        <f t="shared" si="1"/>
        <v>24</v>
      </c>
      <c r="B26" s="33">
        <f ca="1">Summary!B27</f>
        <v>378</v>
      </c>
      <c r="C26" s="1">
        <f ca="1">'Supply Side'!B25</f>
        <v>0</v>
      </c>
      <c r="D26" s="1">
        <f ca="1">IF('Order Side'!$G25, 'Supply Side'!C25,)</f>
        <v>-189</v>
      </c>
      <c r="E26" s="37">
        <f>'Supply Side'!D25</f>
        <v>0</v>
      </c>
      <c r="F26" s="37">
        <f>'Supply Side'!E25</f>
        <v>0</v>
      </c>
      <c r="G26" s="1">
        <f ca="1">IF('Order Side'!$G25, 'Order Side'!B25,)</f>
        <v>12</v>
      </c>
      <c r="H26" s="35"/>
    </row>
    <row r="27" spans="1:8" x14ac:dyDescent="0.25">
      <c r="A27" s="2">
        <f t="shared" si="1"/>
        <v>25</v>
      </c>
      <c r="B27" s="33">
        <f ca="1">Summary!B28</f>
        <v>402</v>
      </c>
      <c r="C27" s="1">
        <f ca="1">'Supply Side'!B26</f>
        <v>0</v>
      </c>
      <c r="D27" s="1">
        <f ca="1">IF('Order Side'!$G26, 'Supply Side'!C26,)</f>
        <v>-201</v>
      </c>
      <c r="E27" s="37">
        <f>'Supply Side'!D26</f>
        <v>0</v>
      </c>
      <c r="F27" s="37">
        <f>'Supply Side'!E26</f>
        <v>0</v>
      </c>
      <c r="G27" s="1">
        <f ca="1">IF('Order Side'!$G26, 'Order Side'!B26,)</f>
        <v>12</v>
      </c>
      <c r="H27" s="35"/>
    </row>
    <row r="28" spans="1:8" x14ac:dyDescent="0.25">
      <c r="A28" s="2">
        <f t="shared" si="1"/>
        <v>26</v>
      </c>
      <c r="B28" s="33">
        <f ca="1">Summary!B29</f>
        <v>426</v>
      </c>
      <c r="C28" s="1">
        <f ca="1">'Supply Side'!B27</f>
        <v>0</v>
      </c>
      <c r="D28" s="1">
        <f ca="1">IF('Order Side'!$G27, 'Supply Side'!C27,)</f>
        <v>-213</v>
      </c>
      <c r="E28" s="37">
        <f>'Supply Side'!D27</f>
        <v>0</v>
      </c>
      <c r="F28" s="37">
        <f>'Supply Side'!E27</f>
        <v>0</v>
      </c>
      <c r="G28" s="1">
        <f ca="1">IF('Order Side'!$G27, 'Order Side'!B27,)</f>
        <v>12</v>
      </c>
      <c r="H28" s="35"/>
    </row>
    <row r="29" spans="1:8" x14ac:dyDescent="0.25">
      <c r="A29" s="2">
        <f t="shared" si="1"/>
        <v>27</v>
      </c>
      <c r="B29" s="33">
        <f ca="1">Summary!B30</f>
        <v>450</v>
      </c>
      <c r="C29" s="1">
        <f ca="1">'Supply Side'!B28</f>
        <v>0</v>
      </c>
      <c r="D29" s="1">
        <f ca="1">IF('Order Side'!$G28, 'Supply Side'!C28,)</f>
        <v>-225</v>
      </c>
      <c r="E29" s="37">
        <f>'Supply Side'!D28</f>
        <v>0</v>
      </c>
      <c r="F29" s="37">
        <f>'Supply Side'!E28</f>
        <v>0</v>
      </c>
      <c r="G29" s="1">
        <f ca="1">IF('Order Side'!$G28, 'Order Side'!B28,)</f>
        <v>12</v>
      </c>
      <c r="H29" s="35"/>
    </row>
    <row r="30" spans="1:8" x14ac:dyDescent="0.25">
      <c r="A30" s="2">
        <f t="shared" si="1"/>
        <v>28</v>
      </c>
      <c r="B30" s="33">
        <f ca="1">Summary!B31</f>
        <v>474</v>
      </c>
      <c r="C30" s="1">
        <f ca="1">'Supply Side'!B29</f>
        <v>0</v>
      </c>
      <c r="D30" s="1">
        <f ca="1">IF('Order Side'!$G29, 'Supply Side'!C29,)</f>
        <v>-237</v>
      </c>
      <c r="E30" s="37">
        <f>'Supply Side'!D29</f>
        <v>0</v>
      </c>
      <c r="F30" s="37">
        <f>'Supply Side'!E29</f>
        <v>0</v>
      </c>
      <c r="G30" s="1">
        <f ca="1">IF('Order Side'!$G29, 'Order Side'!B29,)</f>
        <v>12</v>
      </c>
      <c r="H30" s="35"/>
    </row>
    <row r="31" spans="1:8" x14ac:dyDescent="0.25">
      <c r="A31" s="2">
        <f t="shared" si="1"/>
        <v>29</v>
      </c>
      <c r="B31" s="33">
        <f ca="1">Summary!B32</f>
        <v>498</v>
      </c>
      <c r="C31" s="1">
        <f ca="1">'Supply Side'!B30</f>
        <v>0</v>
      </c>
      <c r="D31" s="1">
        <f ca="1">IF('Order Side'!$G30, 'Supply Side'!C30,)</f>
        <v>-249</v>
      </c>
      <c r="E31" s="37">
        <f>'Supply Side'!D30</f>
        <v>0</v>
      </c>
      <c r="F31" s="37">
        <f>'Supply Side'!E30</f>
        <v>0</v>
      </c>
      <c r="G31" s="1">
        <f ca="1">IF('Order Side'!$G30, 'Order Side'!B30,)</f>
        <v>12</v>
      </c>
      <c r="H31" s="35"/>
    </row>
    <row r="32" spans="1:8" x14ac:dyDescent="0.25">
      <c r="A32" s="2">
        <f t="shared" si="1"/>
        <v>30</v>
      </c>
      <c r="B32" s="33">
        <f ca="1">Summary!B33</f>
        <v>522</v>
      </c>
      <c r="C32" s="1">
        <f ca="1">'Supply Side'!B31</f>
        <v>0</v>
      </c>
      <c r="D32" s="1">
        <f ca="1">IF('Order Side'!$G31, 'Supply Side'!C31,)</f>
        <v>-261</v>
      </c>
      <c r="E32" s="37">
        <f>'Supply Side'!D31</f>
        <v>0</v>
      </c>
      <c r="F32" s="37">
        <f>'Supply Side'!E31</f>
        <v>0</v>
      </c>
      <c r="G32" s="1">
        <f ca="1">IF('Order Side'!$G31, 'Order Side'!B31,)</f>
        <v>12</v>
      </c>
      <c r="H32" s="35"/>
    </row>
    <row r="33" spans="1:8" x14ac:dyDescent="0.25">
      <c r="A33" s="2">
        <f t="shared" si="1"/>
        <v>31</v>
      </c>
      <c r="B33" s="33">
        <f ca="1">Summary!B34</f>
        <v>546</v>
      </c>
      <c r="C33" s="1">
        <f ca="1">'Supply Side'!B32</f>
        <v>0</v>
      </c>
      <c r="D33" s="1">
        <f ca="1">IF('Order Side'!$G32, 'Supply Side'!C32,)</f>
        <v>-273</v>
      </c>
      <c r="E33" s="37">
        <f>'Supply Side'!D32</f>
        <v>0</v>
      </c>
      <c r="F33" s="37">
        <f>'Supply Side'!E32</f>
        <v>0</v>
      </c>
      <c r="G33" s="1">
        <f ca="1">IF('Order Side'!$G32, 'Order Side'!B32,)</f>
        <v>12</v>
      </c>
      <c r="H33" s="35"/>
    </row>
    <row r="34" spans="1:8" x14ac:dyDescent="0.25">
      <c r="A34" s="2">
        <f t="shared" si="1"/>
        <v>32</v>
      </c>
      <c r="B34" s="33">
        <f ca="1">Summary!B35</f>
        <v>570</v>
      </c>
      <c r="C34" s="1">
        <f ca="1">'Supply Side'!B33</f>
        <v>0</v>
      </c>
      <c r="D34" s="1">
        <f ca="1">IF('Order Side'!$G33, 'Supply Side'!C33,)</f>
        <v>-285</v>
      </c>
      <c r="E34" s="37">
        <f>'Supply Side'!D33</f>
        <v>0</v>
      </c>
      <c r="F34" s="37">
        <f>'Supply Side'!E33</f>
        <v>0</v>
      </c>
      <c r="G34" s="1">
        <f ca="1">IF('Order Side'!$G33, 'Order Side'!B33,)</f>
        <v>12</v>
      </c>
      <c r="H34" s="35"/>
    </row>
    <row r="35" spans="1:8" x14ac:dyDescent="0.25">
      <c r="A35" s="2">
        <f t="shared" si="1"/>
        <v>33</v>
      </c>
      <c r="B35" s="33">
        <f ca="1">Summary!B36</f>
        <v>594</v>
      </c>
      <c r="C35" s="1">
        <f ca="1">'Supply Side'!B34</f>
        <v>0</v>
      </c>
      <c r="D35" s="1">
        <f ca="1">IF('Order Side'!$G34, 'Supply Side'!C34,)</f>
        <v>-297</v>
      </c>
      <c r="E35" s="37">
        <f>'Supply Side'!D34</f>
        <v>0</v>
      </c>
      <c r="F35" s="37">
        <f>'Supply Side'!E34</f>
        <v>0</v>
      </c>
      <c r="G35" s="1">
        <f ca="1">IF('Order Side'!$G34, 'Order Side'!B34,)</f>
        <v>12</v>
      </c>
      <c r="H35" s="35"/>
    </row>
    <row r="36" spans="1:8" x14ac:dyDescent="0.25">
      <c r="A36" s="2">
        <f t="shared" si="1"/>
        <v>34</v>
      </c>
      <c r="B36" s="33">
        <f ca="1">Summary!B37</f>
        <v>618</v>
      </c>
      <c r="C36" s="1">
        <f ca="1">'Supply Side'!B35</f>
        <v>0</v>
      </c>
      <c r="D36" s="1">
        <f ca="1">IF('Order Side'!$G35, 'Supply Side'!C35,)</f>
        <v>-309</v>
      </c>
      <c r="E36" s="37">
        <f>'Supply Side'!D35</f>
        <v>0</v>
      </c>
      <c r="F36" s="37">
        <f>'Supply Side'!E35</f>
        <v>0</v>
      </c>
      <c r="G36" s="1">
        <f ca="1">IF('Order Side'!$G35, 'Order Side'!B35,)</f>
        <v>12</v>
      </c>
      <c r="H36" s="35"/>
    </row>
    <row r="37" spans="1:8" x14ac:dyDescent="0.25">
      <c r="A37" s="2">
        <f t="shared" si="1"/>
        <v>35</v>
      </c>
      <c r="B37" s="33">
        <f ca="1">Summary!B38</f>
        <v>642</v>
      </c>
      <c r="C37" s="1">
        <f ca="1">'Supply Side'!B36</f>
        <v>0</v>
      </c>
      <c r="D37" s="1">
        <f ca="1">IF('Order Side'!$G36, 'Supply Side'!C36,)</f>
        <v>-321</v>
      </c>
      <c r="E37" s="37">
        <f>'Supply Side'!D36</f>
        <v>0</v>
      </c>
      <c r="F37" s="37">
        <f>'Supply Side'!E36</f>
        <v>0</v>
      </c>
      <c r="G37" s="1">
        <f ca="1">IF('Order Side'!$G36, 'Order Side'!B36,)</f>
        <v>12</v>
      </c>
      <c r="H37" s="35"/>
    </row>
    <row r="38" spans="1:8" x14ac:dyDescent="0.25">
      <c r="A38" s="2">
        <f t="shared" si="1"/>
        <v>36</v>
      </c>
      <c r="B38" s="33">
        <f ca="1">Summary!B39</f>
        <v>666</v>
      </c>
      <c r="C38" s="1">
        <f ca="1">'Supply Side'!B37</f>
        <v>0</v>
      </c>
      <c r="D38" s="1">
        <f ca="1">IF('Order Side'!$G37, 'Supply Side'!C37,)</f>
        <v>-333</v>
      </c>
      <c r="E38" s="37">
        <f>'Supply Side'!D37</f>
        <v>0</v>
      </c>
      <c r="F38" s="37">
        <f>'Supply Side'!E37</f>
        <v>0</v>
      </c>
      <c r="G38" s="1">
        <f ca="1">IF('Order Side'!$G37, 'Order Side'!B37,)</f>
        <v>12</v>
      </c>
      <c r="H38" s="35"/>
    </row>
    <row r="39" spans="1:8" x14ac:dyDescent="0.25">
      <c r="A39" s="2">
        <f t="shared" si="1"/>
        <v>37</v>
      </c>
      <c r="B39" s="33">
        <f ca="1">Summary!B40</f>
        <v>690</v>
      </c>
      <c r="C39" s="1">
        <f ca="1">'Supply Side'!B38</f>
        <v>0</v>
      </c>
      <c r="D39" s="1">
        <f ca="1">IF('Order Side'!$G38, 'Supply Side'!C38,)</f>
        <v>-345</v>
      </c>
      <c r="E39" s="37">
        <f>'Supply Side'!D38</f>
        <v>0</v>
      </c>
      <c r="F39" s="37">
        <f>'Supply Side'!E38</f>
        <v>0</v>
      </c>
      <c r="G39" s="1">
        <f ca="1">IF('Order Side'!$G38, 'Order Side'!B38,)</f>
        <v>12</v>
      </c>
      <c r="H39" s="35"/>
    </row>
    <row r="40" spans="1:8" x14ac:dyDescent="0.25">
      <c r="A40" s="2">
        <f t="shared" si="1"/>
        <v>38</v>
      </c>
      <c r="B40" s="33">
        <f ca="1">Summary!B41</f>
        <v>714</v>
      </c>
      <c r="C40" s="1">
        <f ca="1">'Supply Side'!B39</f>
        <v>0</v>
      </c>
      <c r="D40" s="1">
        <f ca="1">IF('Order Side'!$G39, 'Supply Side'!C39,)</f>
        <v>-357</v>
      </c>
      <c r="E40" s="37">
        <f>'Supply Side'!D39</f>
        <v>0</v>
      </c>
      <c r="F40" s="37">
        <f>'Supply Side'!E39</f>
        <v>0</v>
      </c>
      <c r="G40" s="1">
        <f ca="1">IF('Order Side'!$G39, 'Order Side'!B39,)</f>
        <v>12</v>
      </c>
      <c r="H40" s="35"/>
    </row>
    <row r="41" spans="1:8" x14ac:dyDescent="0.25">
      <c r="A41" s="2">
        <f t="shared" si="1"/>
        <v>39</v>
      </c>
      <c r="B41" s="33">
        <f ca="1">Summary!B42</f>
        <v>738</v>
      </c>
      <c r="C41" s="1">
        <f ca="1">'Supply Side'!B40</f>
        <v>0</v>
      </c>
      <c r="D41" s="1">
        <f ca="1">IF('Order Side'!$G40, 'Supply Side'!C40,)</f>
        <v>-369</v>
      </c>
      <c r="E41" s="37">
        <f>'Supply Side'!D40</f>
        <v>0</v>
      </c>
      <c r="F41" s="37">
        <f>'Supply Side'!E40</f>
        <v>0</v>
      </c>
      <c r="G41" s="1">
        <f ca="1">IF('Order Side'!$G40, 'Order Side'!B40,)</f>
        <v>12</v>
      </c>
      <c r="H41" s="35"/>
    </row>
    <row r="42" spans="1:8" x14ac:dyDescent="0.25">
      <c r="A42" s="2">
        <f t="shared" si="1"/>
        <v>40</v>
      </c>
      <c r="B42" s="33">
        <f ca="1">Summary!B43</f>
        <v>762</v>
      </c>
      <c r="C42" s="1">
        <f ca="1">'Supply Side'!B41</f>
        <v>0</v>
      </c>
      <c r="D42" s="1">
        <f ca="1">IF('Order Side'!$G41, 'Supply Side'!C41,)</f>
        <v>-381</v>
      </c>
      <c r="E42" s="37">
        <f>'Supply Side'!D41</f>
        <v>0</v>
      </c>
      <c r="F42" s="37">
        <f>'Supply Side'!E41</f>
        <v>0</v>
      </c>
      <c r="G42" s="1">
        <f ca="1">IF('Order Side'!$G41, 'Order Side'!B41,)</f>
        <v>12</v>
      </c>
      <c r="H42" s="35"/>
    </row>
    <row r="43" spans="1:8" x14ac:dyDescent="0.25">
      <c r="A43" s="2">
        <f t="shared" si="1"/>
        <v>41</v>
      </c>
      <c r="B43" s="33">
        <f ca="1">Summary!B44</f>
        <v>786</v>
      </c>
      <c r="C43" s="1">
        <f ca="1">'Supply Side'!B42</f>
        <v>0</v>
      </c>
      <c r="D43" s="1">
        <f ca="1">IF('Order Side'!$G42, 'Supply Side'!C42,)</f>
        <v>-393</v>
      </c>
      <c r="E43" s="37">
        <f>'Supply Side'!D42</f>
        <v>0</v>
      </c>
      <c r="F43" s="37">
        <f>'Supply Side'!E42</f>
        <v>0</v>
      </c>
      <c r="G43" s="1">
        <f ca="1">IF('Order Side'!$G42, 'Order Side'!B42,)</f>
        <v>12</v>
      </c>
      <c r="H43" s="35"/>
    </row>
    <row r="44" spans="1:8" x14ac:dyDescent="0.25">
      <c r="A44" s="2">
        <f t="shared" si="1"/>
        <v>42</v>
      </c>
      <c r="B44" s="33">
        <f ca="1">Summary!B45</f>
        <v>810</v>
      </c>
      <c r="C44" s="1">
        <f ca="1">'Supply Side'!B43</f>
        <v>0</v>
      </c>
      <c r="D44" s="1">
        <f ca="1">IF('Order Side'!$G43, 'Supply Side'!C43,)</f>
        <v>-405</v>
      </c>
      <c r="E44" s="37">
        <f>'Supply Side'!D43</f>
        <v>0</v>
      </c>
      <c r="F44" s="37">
        <f>'Supply Side'!E43</f>
        <v>0</v>
      </c>
      <c r="G44" s="1">
        <f ca="1">IF('Order Side'!$G43, 'Order Side'!B43,)</f>
        <v>12</v>
      </c>
      <c r="H44" s="35"/>
    </row>
    <row r="45" spans="1:8" x14ac:dyDescent="0.25">
      <c r="A45" s="2">
        <f t="shared" si="1"/>
        <v>43</v>
      </c>
      <c r="B45" s="33">
        <f ca="1">Summary!B46</f>
        <v>834</v>
      </c>
      <c r="C45" s="1">
        <f ca="1">'Supply Side'!B44</f>
        <v>0</v>
      </c>
      <c r="D45" s="1">
        <f ca="1">IF('Order Side'!$G44, 'Supply Side'!C44,)</f>
        <v>-417</v>
      </c>
      <c r="E45" s="37">
        <f>'Supply Side'!D44</f>
        <v>0</v>
      </c>
      <c r="F45" s="37">
        <f>'Supply Side'!E44</f>
        <v>0</v>
      </c>
      <c r="G45" s="1">
        <f ca="1">IF('Order Side'!$G44, 'Order Side'!B44,)</f>
        <v>12</v>
      </c>
      <c r="H45" s="35"/>
    </row>
    <row r="46" spans="1:8" x14ac:dyDescent="0.25">
      <c r="A46" s="2">
        <f t="shared" si="1"/>
        <v>44</v>
      </c>
      <c r="B46" s="33">
        <f ca="1">Summary!B47</f>
        <v>858</v>
      </c>
      <c r="C46" s="1">
        <f ca="1">'Supply Side'!B45</f>
        <v>0</v>
      </c>
      <c r="D46" s="1">
        <f ca="1">IF('Order Side'!$G45, 'Supply Side'!C45,)</f>
        <v>-429</v>
      </c>
      <c r="E46" s="37">
        <f>'Supply Side'!D45</f>
        <v>0</v>
      </c>
      <c r="F46" s="37">
        <f>'Supply Side'!E45</f>
        <v>0</v>
      </c>
      <c r="G46" s="1">
        <f ca="1">IF('Order Side'!$G45, 'Order Side'!B45,)</f>
        <v>12</v>
      </c>
      <c r="H46" s="35"/>
    </row>
    <row r="47" spans="1:8" x14ac:dyDescent="0.25">
      <c r="A47" s="2">
        <f t="shared" si="1"/>
        <v>45</v>
      </c>
      <c r="B47" s="33">
        <f ca="1">Summary!B48</f>
        <v>882</v>
      </c>
      <c r="C47" s="1">
        <f ca="1">'Supply Side'!B46</f>
        <v>0</v>
      </c>
      <c r="D47" s="1">
        <f ca="1">IF('Order Side'!$G46, 'Supply Side'!C46,)</f>
        <v>-441</v>
      </c>
      <c r="E47" s="37">
        <f>'Supply Side'!D46</f>
        <v>0</v>
      </c>
      <c r="F47" s="37">
        <f>'Supply Side'!E46</f>
        <v>0</v>
      </c>
      <c r="G47" s="1">
        <f ca="1">IF('Order Side'!$G46, 'Order Side'!B46,)</f>
        <v>12</v>
      </c>
      <c r="H47" s="35"/>
    </row>
    <row r="48" spans="1:8" x14ac:dyDescent="0.25">
      <c r="A48" s="2">
        <f t="shared" si="1"/>
        <v>46</v>
      </c>
      <c r="B48" s="33">
        <f ca="1">Summary!B49</f>
        <v>906</v>
      </c>
      <c r="C48" s="1">
        <f ca="1">'Supply Side'!B47</f>
        <v>0</v>
      </c>
      <c r="D48" s="1">
        <f ca="1">IF('Order Side'!$G47, 'Supply Side'!C47,)</f>
        <v>-453</v>
      </c>
      <c r="E48" s="37">
        <f>'Supply Side'!D47</f>
        <v>0</v>
      </c>
      <c r="F48" s="37">
        <f>'Supply Side'!E47</f>
        <v>0</v>
      </c>
      <c r="G48" s="1">
        <f ca="1">IF('Order Side'!$G47, 'Order Side'!B47,)</f>
        <v>12</v>
      </c>
      <c r="H48" s="35"/>
    </row>
    <row r="49" spans="1:8" x14ac:dyDescent="0.25">
      <c r="A49" s="2">
        <f t="shared" si="1"/>
        <v>47</v>
      </c>
      <c r="B49" s="33">
        <f ca="1">Summary!B50</f>
        <v>930</v>
      </c>
      <c r="C49" s="1">
        <f ca="1">'Supply Side'!B48</f>
        <v>0</v>
      </c>
      <c r="D49" s="1">
        <f ca="1">IF('Order Side'!$G48, 'Supply Side'!C48,)</f>
        <v>-465</v>
      </c>
      <c r="E49" s="37">
        <f>'Supply Side'!D48</f>
        <v>0</v>
      </c>
      <c r="F49" s="37">
        <f>'Supply Side'!E48</f>
        <v>0</v>
      </c>
      <c r="G49" s="1">
        <f ca="1">IF('Order Side'!$G48, 'Order Side'!B48,)</f>
        <v>12</v>
      </c>
      <c r="H49" s="35"/>
    </row>
    <row r="50" spans="1:8" x14ac:dyDescent="0.25">
      <c r="A50" s="2">
        <f t="shared" si="1"/>
        <v>48</v>
      </c>
      <c r="B50" s="33">
        <f ca="1">Summary!B51</f>
        <v>954</v>
      </c>
      <c r="C50" s="1">
        <f ca="1">'Supply Side'!B49</f>
        <v>0</v>
      </c>
      <c r="D50" s="1">
        <f ca="1">IF('Order Side'!$G49, 'Supply Side'!C49,)</f>
        <v>-477</v>
      </c>
      <c r="E50" s="37">
        <f>'Supply Side'!D49</f>
        <v>0</v>
      </c>
      <c r="F50" s="37">
        <f>'Supply Side'!E49</f>
        <v>0</v>
      </c>
      <c r="G50" s="1">
        <f ca="1">IF('Order Side'!$G49, 'Order Side'!B49,)</f>
        <v>12</v>
      </c>
      <c r="H50" s="35"/>
    </row>
    <row r="51" spans="1:8" x14ac:dyDescent="0.25">
      <c r="A51" s="2">
        <f t="shared" si="1"/>
        <v>49</v>
      </c>
      <c r="B51" s="33">
        <f ca="1">Summary!B52</f>
        <v>978</v>
      </c>
      <c r="C51" s="1">
        <f ca="1">'Supply Side'!B50</f>
        <v>0</v>
      </c>
      <c r="D51" s="1">
        <f ca="1">IF('Order Side'!$G50, 'Supply Side'!C50,)</f>
        <v>-489</v>
      </c>
      <c r="E51" s="37">
        <f>'Supply Side'!D50</f>
        <v>0</v>
      </c>
      <c r="F51" s="37">
        <f>'Supply Side'!E50</f>
        <v>0</v>
      </c>
      <c r="G51" s="1">
        <f ca="1">IF('Order Side'!$G50, 'Order Side'!B50,)</f>
        <v>12</v>
      </c>
      <c r="H51" s="35"/>
    </row>
    <row r="52" spans="1:8" x14ac:dyDescent="0.25">
      <c r="A52" s="2">
        <f t="shared" si="1"/>
        <v>50</v>
      </c>
      <c r="B52" s="33">
        <f ca="1">Summary!B53</f>
        <v>1002</v>
      </c>
      <c r="C52" s="1">
        <f ca="1">'Supply Side'!B51</f>
        <v>0</v>
      </c>
      <c r="D52" s="1">
        <f ca="1">IF('Order Side'!$G51, 'Supply Side'!C51,)</f>
        <v>-501</v>
      </c>
      <c r="E52" s="37">
        <f>'Supply Side'!D51</f>
        <v>0</v>
      </c>
      <c r="F52" s="37">
        <f>'Supply Side'!E51</f>
        <v>0</v>
      </c>
      <c r="G52" s="1">
        <f ca="1">IF('Order Side'!$G51, 'Order Side'!B51,)</f>
        <v>12</v>
      </c>
      <c r="H52" s="35"/>
    </row>
  </sheetData>
  <conditionalFormatting sqref="C2:C52">
    <cfRule type="expression" dxfId="3" priority="4">
      <formula>$G2&lt;=C2</formula>
    </cfRule>
  </conditionalFormatting>
  <conditionalFormatting sqref="D1:D52">
    <cfRule type="cellIs" dxfId="2" priority="1" operator="lessThanOrEqual">
      <formula>0</formula>
    </cfRule>
  </conditionalFormatting>
  <conditionalFormatting sqref="E1:F52 C2:C52">
    <cfRule type="cellIs" dxfId="1" priority="2" operator="equal">
      <formula>0</formula>
    </cfRule>
  </conditionalFormatting>
  <conditionalFormatting sqref="H2:H52">
    <cfRule type="expression" dxfId="0" priority="3">
      <formula>$A2=$A$1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8</vt:i4>
      </vt:variant>
    </vt:vector>
  </HeadingPairs>
  <TitlesOfParts>
    <vt:vector size="8" baseType="lpstr">
      <vt:lpstr>README</vt:lpstr>
      <vt:lpstr>Supply Side</vt:lpstr>
      <vt:lpstr>Order Side</vt:lpstr>
      <vt:lpstr>Summary</vt:lpstr>
      <vt:lpstr>Factory</vt:lpstr>
      <vt:lpstr>Supplier</vt:lpstr>
      <vt:lpstr>Wholesaler</vt:lpstr>
      <vt:lpstr>Retailer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Bård Inge Austigard Pettersen</cp:lastModifiedBy>
  <dcterms:modified xsi:type="dcterms:W3CDTF">2025-11-08T00:42:02Z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e59125d-3421-490c-8c49-713131ff88a1_Enabled">
    <vt:lpwstr>true</vt:lpwstr>
  </property>
  <property fmtid="{D5CDD505-2E9C-101B-9397-08002B2CF9AE}" pid="3" name="MSIP_Label_ee59125d-3421-490c-8c49-713131ff88a1_SetDate">
    <vt:lpwstr>2025-11-08T00:42:01Z</vt:lpwstr>
  </property>
  <property fmtid="{D5CDD505-2E9C-101B-9397-08002B2CF9AE}" pid="4" name="MSIP_Label_ee59125d-3421-490c-8c49-713131ff88a1_Method">
    <vt:lpwstr>Standard</vt:lpwstr>
  </property>
  <property fmtid="{D5CDD505-2E9C-101B-9397-08002B2CF9AE}" pid="5" name="MSIP_Label_ee59125d-3421-490c-8c49-713131ff88a1_Name">
    <vt:lpwstr>Yellow</vt:lpwstr>
  </property>
  <property fmtid="{D5CDD505-2E9C-101B-9397-08002B2CF9AE}" pid="6" name="MSIP_Label_ee59125d-3421-490c-8c49-713131ff88a1_SiteId">
    <vt:lpwstr>938c1eb0-9d08-484b-92b9-53f583bd08fb</vt:lpwstr>
  </property>
  <property fmtid="{D5CDD505-2E9C-101B-9397-08002B2CF9AE}" pid="7" name="MSIP_Label_ee59125d-3421-490c-8c49-713131ff88a1_ActionId">
    <vt:lpwstr>a215019b-0e4b-44dd-acc9-38bfae95e96b</vt:lpwstr>
  </property>
  <property fmtid="{D5CDD505-2E9C-101B-9397-08002B2CF9AE}" pid="8" name="MSIP_Label_ee59125d-3421-490c-8c49-713131ff88a1_ContentBits">
    <vt:lpwstr>0</vt:lpwstr>
  </property>
  <property fmtid="{D5CDD505-2E9C-101B-9397-08002B2CF9AE}" pid="9" name="MSIP_Label_ee59125d-3421-490c-8c49-713131ff88a1_Tag">
    <vt:lpwstr>10, 3, 0, 1</vt:lpwstr>
  </property>
</Properties>
</file>